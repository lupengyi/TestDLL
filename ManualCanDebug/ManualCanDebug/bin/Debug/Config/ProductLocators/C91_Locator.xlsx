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https://fastwarner-my.sharepoint.cn/personal/lihang_fastwarner_com/Documents/桌面/资料/功能测试/功能测试/"/>
    </mc:Choice>
  </mc:AlternateContent>
  <xr:revisionPtr revIDLastSave="19" documentId="13_ncr:1_{479EAEBD-E90F-45F6-8E3D-89229F24BA86}" xr6:coauthVersionLast="47" xr6:coauthVersionMax="47" xr10:uidLastSave="{25CD3C47-9B25-4601-9271-2F9B5796B9B8}"/>
  <bookViews>
    <workbookView minimized="1" xWindow="-20775" yWindow="4995" windowWidth="14400" windowHeight="8175" tabRatio="809" firstSheet="1" activeTab="1" xr2:uid="{00000000-000D-0000-FFFF-FFFF00000000}"/>
  </bookViews>
  <sheets>
    <sheet name="Revision Record" sheetId="21" r:id="rId1"/>
    <sheet name="FT IO Table Address Table" sheetId="4" r:id="rId2"/>
    <sheet name="Auto Output" sheetId="19" r:id="rId3"/>
    <sheet name="Input Tables" sheetId="1" r:id="rId4"/>
    <sheet name="FT_HW&amp;SW_Version" sheetId="16" r:id="rId5"/>
    <sheet name="Output Tables" sheetId="2" r:id="rId6"/>
    <sheet name="MPI" sheetId="18" r:id="rId7"/>
    <sheet name="Resolver and Current Sense" sheetId="6" r:id="rId8"/>
    <sheet name="Inverter Motor Control Data" sheetId="3" r:id="rId9"/>
    <sheet name="Communication" sheetId="20" r:id="rId10"/>
    <sheet name="LVL3_PIC" sheetId="11" r:id="rId11"/>
    <sheet name="RAM Test" sheetId="7" r:id="rId12"/>
    <sheet name="C3PS" sheetId="12" r:id="rId13"/>
    <sheet name="Sheet1" sheetId="22" r:id="rId14"/>
    <sheet name="User Instructions " sheetId="13" r:id="rId15"/>
  </sheets>
  <definedNames>
    <definedName name="_Hlk99025314" localSheetId="4">'FT_HW&amp;SW_Version'!$Q$14</definedName>
    <definedName name="OLE_LINK8" localSheetId="1">'FT IO Table Address Table'!#REF!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alcChain>
</file>

<file path=xl/sharedStrings.xml><?xml version="1.0" encoding="utf-8"?>
<sst xmlns="http://schemas.openxmlformats.org/spreadsheetml/2006/main" count="2020" uniqueCount="1025">
  <si>
    <t xml:space="preserve">Factory Test Address Table Definition </t>
  </si>
  <si>
    <t xml:space="preserve"> Table Name</t>
  </si>
  <si>
    <t>Offset</t>
  </si>
  <si>
    <t>element size</t>
    <phoneticPr fontId="7" type="noConversion"/>
  </si>
  <si>
    <t>Comment</t>
    <phoneticPr fontId="7" type="noConversion"/>
  </si>
  <si>
    <t>FT_Analog_Input_Max</t>
  </si>
  <si>
    <t>FT_Analog_Input_Min</t>
  </si>
  <si>
    <t>FT_Ana_In_Counts</t>
  </si>
  <si>
    <t>0C</t>
  </si>
  <si>
    <t>FT_Ana_In_Counts_Max</t>
  </si>
  <si>
    <t>FT_Ana_In_Counts_Min</t>
  </si>
  <si>
    <t>FT_Discrete_Inputs_Transition</t>
  </si>
  <si>
    <t>1C</t>
  </si>
  <si>
    <t>FT_Pulse_Inputs</t>
  </si>
  <si>
    <t>FT_Pulse_Inputs_Max</t>
  </si>
  <si>
    <t>FT_Pulse_Inputs_Min</t>
  </si>
  <si>
    <t>2C</t>
  </si>
  <si>
    <t>FT_Phase_Temp_Inputs_Max</t>
  </si>
  <si>
    <t>FT_Phase_Temp_Inputs_Min</t>
  </si>
  <si>
    <t>FT_Re_Init_Min_Max_Tables_Flag</t>
  </si>
  <si>
    <t>FT_HV_DISCHG_Stat</t>
  </si>
  <si>
    <t>3C</t>
  </si>
  <si>
    <t>No use</t>
    <phoneticPr fontId="7" type="noConversion"/>
  </si>
  <si>
    <t xml:space="preserve">FT_Enables          </t>
  </si>
  <si>
    <t xml:space="preserve">FT_Pulse_Outputs    </t>
  </si>
  <si>
    <t>2x2</t>
  </si>
  <si>
    <t>each output has 2 entries of size 2 bytes</t>
  </si>
  <si>
    <t>table</t>
  </si>
  <si>
    <t>FT_EMUL_Resolver_Data</t>
  </si>
  <si>
    <t>4C</t>
  </si>
  <si>
    <t>FT_Mode_N</t>
  </si>
  <si>
    <t>FT_Requested_Mode</t>
  </si>
  <si>
    <t>FT_Code_Version</t>
  </si>
  <si>
    <t>4 byte</t>
    <phoneticPr fontId="7" type="noConversion"/>
  </si>
  <si>
    <t>5C</t>
  </si>
  <si>
    <t>FT_Motor Gain Settings</t>
  </si>
  <si>
    <t>FT_Motor Limits</t>
  </si>
  <si>
    <t>6C</t>
  </si>
  <si>
    <t>FT_DSADC_Inputs</t>
  </si>
  <si>
    <t>FT_AMR_Theta_Est_Rectified</t>
    <phoneticPr fontId="7" type="noConversion"/>
  </si>
  <si>
    <t>7C</t>
  </si>
  <si>
    <t>FT_AMR_Omega_Obs_Rectified</t>
  </si>
  <si>
    <t>signed, No use</t>
    <phoneticPr fontId="7" type="noConversion"/>
  </si>
  <si>
    <t>FT_Ecu_Type</t>
  </si>
  <si>
    <t xml:space="preserve">1 Byte, IoHwAb_VID, No use    </t>
    <phoneticPr fontId="7" type="noConversion"/>
  </si>
  <si>
    <t>FT_Pwr_Brd_Type</t>
  </si>
  <si>
    <t>FT_Resolvr_Type</t>
    <phoneticPr fontId="7" type="noConversion"/>
  </si>
  <si>
    <t>8C</t>
  </si>
  <si>
    <t>FT_Tricore_Chip_Type</t>
  </si>
  <si>
    <t>1 Byte, No use</t>
    <phoneticPr fontId="7" type="noConversion"/>
  </si>
  <si>
    <t>1 Byte</t>
    <phoneticPr fontId="7" type="noConversion"/>
  </si>
  <si>
    <t>FT_Pic_Result</t>
    <phoneticPr fontId="7" type="noConversion"/>
  </si>
  <si>
    <t>9C</t>
  </si>
  <si>
    <t>FT_Pic_Control</t>
  </si>
  <si>
    <t>A0</t>
  </si>
  <si>
    <t>1 Byte</t>
  </si>
  <si>
    <t>FT_Motor_RPM_Out</t>
    <phoneticPr fontId="7" type="noConversion"/>
  </si>
  <si>
    <t>A4</t>
  </si>
  <si>
    <t>FT_C3PS_TDE_Data</t>
    <phoneticPr fontId="7" type="noConversion"/>
  </si>
  <si>
    <t>A8</t>
  </si>
  <si>
    <t>FT_MPI_Pointer</t>
  </si>
  <si>
    <t>AC</t>
  </si>
  <si>
    <t>4 bytes; this is a pointer to a pointer, so once the offset is added to the start of the address table, the request from this address will provide the pointer address</t>
    <phoneticPr fontId="7" type="noConversion"/>
  </si>
  <si>
    <t>FT_Write_MPI_to_Flash</t>
  </si>
  <si>
    <t>B0</t>
  </si>
  <si>
    <t xml:space="preserve">4 bytes </t>
  </si>
  <si>
    <t>FT_HeartBeat</t>
  </si>
  <si>
    <t>B4</t>
  </si>
  <si>
    <t>Set '1' to extend hold timer, in motor seq. It will be cleared by ECU, so needs to be sent periodically, No use</t>
    <phoneticPr fontId="7" type="noConversion"/>
  </si>
  <si>
    <t>FT_C3PS_Clkout</t>
  </si>
  <si>
    <t>B8</t>
  </si>
  <si>
    <t>Table</t>
  </si>
  <si>
    <t>FT_Freq_Inputs</t>
  </si>
  <si>
    <t>BC</t>
  </si>
  <si>
    <t>Refer to Frequency Input Table</t>
    <phoneticPr fontId="7" type="noConversion"/>
  </si>
  <si>
    <t>FT_Freq_Inputs_Max</t>
  </si>
  <si>
    <t>C0</t>
  </si>
  <si>
    <t>FT_Freq_Inputs_Min</t>
    <phoneticPr fontId="7" type="noConversion"/>
  </si>
  <si>
    <t>C4</t>
  </si>
  <si>
    <t>FT_XCP_CAN_test</t>
    <phoneticPr fontId="7" type="noConversion"/>
  </si>
  <si>
    <t>C8</t>
    <phoneticPr fontId="7" type="noConversion"/>
  </si>
  <si>
    <t>Function</t>
    <phoneticPr fontId="7" type="noConversion"/>
  </si>
  <si>
    <t>No use</t>
  </si>
  <si>
    <t>FT_EOP_CAN_test</t>
    <phoneticPr fontId="7" type="noConversion"/>
  </si>
  <si>
    <t>CC</t>
    <phoneticPr fontId="7" type="noConversion"/>
  </si>
  <si>
    <t>FT_Reserver_CAN_tset</t>
    <phoneticPr fontId="7" type="noConversion"/>
  </si>
  <si>
    <t>D0</t>
    <phoneticPr fontId="7" type="noConversion"/>
  </si>
  <si>
    <t>FT_BLDC_Control</t>
    <phoneticPr fontId="7" type="noConversion"/>
  </si>
  <si>
    <t>D4</t>
    <phoneticPr fontId="7" type="noConversion"/>
  </si>
  <si>
    <t>Table</t>
    <phoneticPr fontId="7" type="noConversion"/>
  </si>
  <si>
    <t>FT_Auto_Output_PWM_Mode</t>
  </si>
  <si>
    <t>D8</t>
    <phoneticPr fontId="7" type="noConversion"/>
  </si>
  <si>
    <t>Function</t>
  </si>
  <si>
    <t>New add function</t>
  </si>
  <si>
    <t>This entry is used for Run-in test</t>
  </si>
  <si>
    <t>Element Size:  A number means the data is that size in bytes.  "table" says the entry is defined on another sheet of this document</t>
  </si>
  <si>
    <t>REVISION LOG DATE (DDMMYYYY)</t>
  </si>
  <si>
    <t>Description</t>
  </si>
  <si>
    <t>26/07/2023</t>
  </si>
  <si>
    <t>15/08/2023</t>
  </si>
  <si>
    <t>Updated the FT IO Table Address Table and added the "FT_Auto_Output_PWM_Mode", "FT_Ph_Current_RunIn_Cmd", and "FT_Ph_Current_RunIn_Status".</t>
  </si>
  <si>
    <t>Changed the default Max_Phase_Current to 1077Apk.</t>
  </si>
  <si>
    <t>Changed the data type of the Max Value Hold Time to float</t>
  </si>
  <si>
    <t>Changed the default Max_Phase_Current to 1216Apk.</t>
  </si>
  <si>
    <t>Added the Commnucation tab and CAN_Bus_2_test</t>
  </si>
  <si>
    <t>Changed the default PwrMod_Temp_Max to 110℃</t>
  </si>
  <si>
    <t>Changed the default Vbus_Min to 420V</t>
  </si>
  <si>
    <t>Changed the default Vbus_Max to 830V</t>
  </si>
  <si>
    <t>Variant ID Values</t>
    <phoneticPr fontId="31" type="noConversion"/>
  </si>
  <si>
    <t>VID0</t>
  </si>
  <si>
    <t>VID1</t>
  </si>
  <si>
    <t>HWID Values</t>
    <phoneticPr fontId="31" type="noConversion"/>
  </si>
  <si>
    <t>HWID2</t>
    <phoneticPr fontId="31" type="noConversion"/>
  </si>
  <si>
    <t>HWID1</t>
    <phoneticPr fontId="31" type="noConversion"/>
  </si>
  <si>
    <t>HWID0</t>
    <phoneticPr fontId="31" type="noConversion"/>
  </si>
  <si>
    <t>FT_Code_Version</t>
    <phoneticPr fontId="6" type="noConversion"/>
  </si>
  <si>
    <t>Offset</t>
    <phoneticPr fontId="6" type="noConversion"/>
  </si>
  <si>
    <t>Name</t>
    <phoneticPr fontId="6" type="noConversion"/>
  </si>
  <si>
    <t>Format</t>
  </si>
  <si>
    <t>Comments</t>
  </si>
  <si>
    <t>Code version</t>
  </si>
  <si>
    <t>uint32</t>
  </si>
  <si>
    <t>Read code version
eg: YYMMDDXX
21042101(2021/4/21 version 01，BCD code）</t>
  </si>
  <si>
    <t>FT_Main_SW_Version</t>
    <phoneticPr fontId="6" type="noConversion"/>
  </si>
  <si>
    <t>Main_sw_version</t>
  </si>
  <si>
    <t>FT_Main_SW_Version_Comments</t>
    <phoneticPr fontId="31" type="noConversion"/>
  </si>
  <si>
    <t>Byte 3</t>
  </si>
  <si>
    <t>Byte 2</t>
  </si>
  <si>
    <t>Byte 1</t>
  </si>
  <si>
    <t>Byte 0</t>
  </si>
  <si>
    <t>Variant</t>
  </si>
  <si>
    <t>Phase</t>
  </si>
  <si>
    <t>Major</t>
  </si>
  <si>
    <t>Minor</t>
  </si>
  <si>
    <t>0x09（Flywheel_900A）</t>
  </si>
  <si>
    <r>
      <t>0x0A</t>
    </r>
    <r>
      <rPr>
        <sz val="11"/>
        <rFont val="SimSun"/>
        <charset val="134"/>
      </rPr>
      <t>：</t>
    </r>
    <r>
      <rPr>
        <sz val="11"/>
        <rFont val="Calibri"/>
        <family val="2"/>
      </rPr>
      <t>A sampele</t>
    </r>
  </si>
  <si>
    <r>
      <t>01</t>
    </r>
    <r>
      <rPr>
        <sz val="11"/>
        <rFont val="DengXian"/>
        <charset val="134"/>
      </rPr>
      <t>（大版本）</t>
    </r>
  </si>
  <si>
    <r>
      <t>01</t>
    </r>
    <r>
      <rPr>
        <sz val="11"/>
        <rFont val="DengXian"/>
        <charset val="134"/>
      </rPr>
      <t>（小版本）</t>
    </r>
  </si>
  <si>
    <t>0X05（Flywheel_500A）</t>
  </si>
  <si>
    <r>
      <t>0x0B</t>
    </r>
    <r>
      <rPr>
        <sz val="11"/>
        <rFont val="Microsoft YaHei"/>
        <family val="2"/>
      </rPr>
      <t>：</t>
    </r>
    <r>
      <rPr>
        <sz val="11"/>
        <rFont val="Calibri"/>
        <family val="2"/>
      </rPr>
      <t>B sampele</t>
    </r>
  </si>
  <si>
    <r>
      <t>02</t>
    </r>
    <r>
      <rPr>
        <sz val="11"/>
        <rFont val="DengXian"/>
        <charset val="134"/>
      </rPr>
      <t>（大版本）</t>
    </r>
  </si>
  <si>
    <r>
      <t>02</t>
    </r>
    <r>
      <rPr>
        <sz val="11"/>
        <rFont val="DengXian"/>
        <charset val="134"/>
      </rPr>
      <t>（小版本）</t>
    </r>
  </si>
  <si>
    <r>
      <t>0x0C</t>
    </r>
    <r>
      <rPr>
        <sz val="11"/>
        <rFont val="Microsoft YaHei"/>
        <family val="2"/>
      </rPr>
      <t>：</t>
    </r>
    <r>
      <rPr>
        <sz val="11"/>
        <rFont val="Calibri"/>
        <family val="2"/>
      </rPr>
      <t>C sampele</t>
    </r>
  </si>
  <si>
    <t>Offset_DEC</t>
  </si>
  <si>
    <t>Name</t>
  </si>
  <si>
    <t>HW_ Output_ Signal</t>
  </si>
  <si>
    <t>Initial state</t>
  </si>
  <si>
    <t>High</t>
  </si>
  <si>
    <t>Low</t>
  </si>
  <si>
    <t>FT_INVTRA_ENBIAS_LO</t>
  </si>
  <si>
    <t>FT_INVTRA_ACT_SC_SEL^</t>
  </si>
  <si>
    <t>FT_INVTRA_ACT_SC^</t>
  </si>
  <si>
    <t>FT_INVTRA_MTR_DIS^</t>
  </si>
  <si>
    <t>FT_INVTRA_FLTRST_OV</t>
  </si>
  <si>
    <r>
      <t>Low</t>
    </r>
    <r>
      <rPr>
        <sz val="10.5"/>
        <rFont val="等线"/>
        <family val="3"/>
        <charset val="134"/>
      </rPr>
      <t xml:space="preserve"> （</t>
    </r>
    <r>
      <rPr>
        <sz val="10"/>
        <rFont val="Arial"/>
        <family val="2"/>
      </rPr>
      <t>the first power on cycle of PSR, this port needs to send a high level to clear the fault</t>
    </r>
    <r>
      <rPr>
        <sz val="10"/>
        <rFont val="等线"/>
        <family val="3"/>
        <charset val="134"/>
      </rPr>
      <t>）</t>
    </r>
  </si>
  <si>
    <t>FT_INVTRA_FLTRST_UV_UP</t>
  </si>
  <si>
    <r>
      <t>Low</t>
    </r>
    <r>
      <rPr>
        <sz val="10.5"/>
        <rFont val="等线"/>
        <family val="3"/>
        <charset val="134"/>
      </rPr>
      <t>（</t>
    </r>
    <r>
      <rPr>
        <sz val="10"/>
        <rFont val="Arial"/>
        <family val="2"/>
      </rPr>
      <t>the first power on cycle of PSR, this port needs to send a high level to clear the fault</t>
    </r>
    <r>
      <rPr>
        <sz val="10"/>
        <rFont val="等线"/>
        <family val="3"/>
        <charset val="134"/>
      </rPr>
      <t>）</t>
    </r>
  </si>
  <si>
    <t>FT_INVTRA_FLTRST_UV_LO</t>
  </si>
  <si>
    <t>FT_INVTRA_FLT_RST_OC</t>
  </si>
  <si>
    <t>FT_INVTR_MTRTEMP_SEL</t>
  </si>
  <si>
    <t>Low or High</t>
  </si>
  <si>
    <t>FT_INVTRA_FLTOVRD_OV</t>
  </si>
  <si>
    <t>High（bypass OV fault）</t>
  </si>
  <si>
    <t>FT_HVDC_SENSE_TEST_SEL</t>
  </si>
  <si>
    <t>FT_PIC_MCLR</t>
  </si>
  <si>
    <t>FT_INVTRA_FLTOVRD_OCA</t>
  </si>
  <si>
    <t>High（bypass OC fault）</t>
  </si>
  <si>
    <t>FT_INVTRA_FLTOVRD_OCB</t>
  </si>
  <si>
    <t>FT_INVTRA_FLTOVRD_OCC</t>
  </si>
  <si>
    <t>FT_3PS_OVERRIDE</t>
  </si>
  <si>
    <t>Analog Input Table</t>
    <phoneticPr fontId="7" type="noConversion"/>
  </si>
  <si>
    <t>Discrete Input Table</t>
    <phoneticPr fontId="7" type="noConversion"/>
  </si>
  <si>
    <t>Pulse Input Table</t>
    <phoneticPr fontId="7" type="noConversion"/>
  </si>
  <si>
    <t>HV_DISCHG_Stat</t>
    <phoneticPr fontId="7" type="noConversion"/>
  </si>
  <si>
    <t>Port Name</t>
    <phoneticPr fontId="7" type="noConversion"/>
  </si>
  <si>
    <t>Fromat</t>
    <phoneticPr fontId="7" type="noConversion"/>
  </si>
  <si>
    <t>Format</t>
    <phoneticPr fontId="7" type="noConversion"/>
  </si>
  <si>
    <t>Variable Type</t>
  </si>
  <si>
    <t>Definition</t>
  </si>
  <si>
    <t>HVDC_SELECT_AI</t>
  </si>
  <si>
    <t>AN0</t>
  </si>
  <si>
    <t>Float32</t>
    <phoneticPr fontId="7" type="noConversion"/>
  </si>
  <si>
    <t>ASC_FW_SELECT</t>
    <phoneticPr fontId="7" type="noConversion"/>
  </si>
  <si>
    <t>P23.6</t>
  </si>
  <si>
    <t>INVTRA_PWM_AHI_PI</t>
  </si>
  <si>
    <t>P02.8</t>
  </si>
  <si>
    <t>uint32</t>
    <phoneticPr fontId="7" type="noConversion"/>
  </si>
  <si>
    <t xml:space="preserve">4 - byte enum representing scaled duty cycle     </t>
  </si>
  <si>
    <r>
      <t xml:space="preserve">50% Duty Cycle, 256 Hz  Ready – </t>
    </r>
    <r>
      <rPr>
        <strike/>
        <sz val="10"/>
        <rFont val="Arial"/>
        <family val="2"/>
      </rPr>
      <t xml:space="preserve">not discharging and ready for a discharge command  </t>
    </r>
    <r>
      <rPr>
        <strike/>
        <sz val="10"/>
        <color rgb="FFFF0000"/>
        <rFont val="Arial"/>
        <family val="2"/>
      </rPr>
      <t xml:space="preserve">
75% Duty Cycle, 256 Hz  Discharging – </t>
    </r>
    <r>
      <rPr>
        <strike/>
        <sz val="10"/>
        <rFont val="Arial"/>
        <family val="2"/>
      </rPr>
      <t>active discharge is currently ON</t>
    </r>
    <r>
      <rPr>
        <strike/>
        <sz val="10"/>
        <color rgb="FFFF0000"/>
        <rFont val="Arial"/>
        <family val="2"/>
      </rPr>
      <t xml:space="preserve">  
25% Duty Cycle, 256 Hz  Thermal Inhibit – </t>
    </r>
    <r>
      <rPr>
        <strike/>
        <sz val="10"/>
        <rFont val="Arial"/>
        <family val="2"/>
      </rPr>
      <t xml:space="preserve">Discharge has previously been attempted and the resistors are cooling down   </t>
    </r>
    <r>
      <rPr>
        <strike/>
        <sz val="10"/>
        <color rgb="FFFF0000"/>
        <rFont val="Arial"/>
        <family val="2"/>
      </rPr>
      <t xml:space="preserve">
90% Duty Cycle, 256 Hz  </t>
    </r>
    <r>
      <rPr>
        <strike/>
        <sz val="10"/>
        <rFont val="Arial"/>
        <family val="2"/>
      </rPr>
      <t>Discharge Completed</t>
    </r>
    <r>
      <rPr>
        <strike/>
        <sz val="10"/>
        <color rgb="FFFF0000"/>
        <rFont val="Arial"/>
        <family val="2"/>
      </rPr>
      <t xml:space="preserve">  
10% Duty Cycle, 256 Hz  </t>
    </r>
    <r>
      <rPr>
        <strike/>
        <sz val="10"/>
        <rFont val="Arial"/>
        <family val="2"/>
      </rPr>
      <t xml:space="preserve">Discharge Not Completed  </t>
    </r>
    <r>
      <rPr>
        <strike/>
        <sz val="10"/>
        <color rgb="FFFF0000"/>
        <rFont val="Arial"/>
        <family val="2"/>
      </rPr>
      <t xml:space="preserve">
High  Diagnostic Fault – </t>
    </r>
    <r>
      <rPr>
        <strike/>
        <sz val="10"/>
        <rFont val="Arial"/>
        <family val="2"/>
      </rPr>
      <t xml:space="preserve">An open or short has occurred across the discharge resistors  </t>
    </r>
    <r>
      <rPr>
        <strike/>
        <sz val="10"/>
        <color rgb="FFFF0000"/>
        <rFont val="Arial"/>
        <family val="2"/>
      </rPr>
      <t xml:space="preserve">
Low  Internal Failure – </t>
    </r>
    <r>
      <rPr>
        <strike/>
        <sz val="10"/>
        <rFont val="Arial"/>
        <family val="2"/>
      </rPr>
      <t>The PIC processors has failed or is in RESET</t>
    </r>
    <r>
      <rPr>
        <strike/>
        <sz val="10"/>
        <color rgb="FFFF0000"/>
        <rFont val="Arial"/>
        <family val="2"/>
      </rPr>
      <t xml:space="preserve"> </t>
    </r>
  </si>
  <si>
    <t>P00.1</t>
    <phoneticPr fontId="7" type="noConversion"/>
  </si>
  <si>
    <t>Delete</t>
  </si>
  <si>
    <t>ADC_TEST_AI</t>
  </si>
  <si>
    <t>AN5</t>
    <phoneticPr fontId="7" type="noConversion"/>
  </si>
  <si>
    <t>P22.7</t>
  </si>
  <si>
    <t>INVTRA_PWM_ALO_PI</t>
  </si>
  <si>
    <t>P02.11</t>
  </si>
  <si>
    <t>INVTRA_IOUTA_CURRENT_AI</t>
  </si>
  <si>
    <t>AN2</t>
    <phoneticPr fontId="7" type="noConversion"/>
  </si>
  <si>
    <t>INVTRA_HV_ASC_STAT</t>
  </si>
  <si>
    <t>P11.12</t>
  </si>
  <si>
    <t>INVTRA_PWM_BHI_PI</t>
  </si>
  <si>
    <t>P02.9</t>
  </si>
  <si>
    <t>RESA_COSHI_OC_VI</t>
  </si>
  <si>
    <t>AN3</t>
    <phoneticPr fontId="7" type="noConversion"/>
  </si>
  <si>
    <t>INVTRA_ASC_FW_FB</t>
  </si>
  <si>
    <t>P13.0</t>
  </si>
  <si>
    <t>INVTRA_PWM_BLO_PI</t>
  </si>
  <si>
    <t>P11.11</t>
  </si>
  <si>
    <t>RESA_SINHI_OC_VI</t>
  </si>
  <si>
    <t>AN4</t>
    <phoneticPr fontId="7" type="noConversion"/>
  </si>
  <si>
    <t>INVTRA_BUF1_FW_FB</t>
  </si>
  <si>
    <t>P10.4</t>
  </si>
  <si>
    <t>INVTRA_PWM_CHI_PI</t>
  </si>
  <si>
    <t>P02.10</t>
    <phoneticPr fontId="7" type="noConversion"/>
  </si>
  <si>
    <t>INVTRA_IOUTB_CURRENT_AI</t>
  </si>
  <si>
    <t>AN10</t>
    <phoneticPr fontId="7" type="noConversion"/>
  </si>
  <si>
    <t>INVTRA_BUF2_ASC_LO_FB</t>
  </si>
  <si>
    <t>P20.9</t>
  </si>
  <si>
    <t>INVTRA_PWM_CLO_PI</t>
  </si>
  <si>
    <t>P20.7</t>
    <phoneticPr fontId="7" type="noConversion"/>
  </si>
  <si>
    <t>RESA_EXC-_DIAG_AI</t>
  </si>
  <si>
    <t>AN11</t>
    <phoneticPr fontId="7" type="noConversion"/>
  </si>
  <si>
    <t>INVTRA_BUF3_ASC_HI_FB</t>
  </si>
  <si>
    <t>P22.10</t>
  </si>
  <si>
    <t>OPTICAL_ENCODER_A_PI</t>
  </si>
  <si>
    <t>P00.0</t>
  </si>
  <si>
    <t>Replaced by OPTICAL_ENCODER_A_PI</t>
  </si>
  <si>
    <t xml:space="preserve"> VREF2_AI</t>
  </si>
  <si>
    <t>AN16</t>
    <phoneticPr fontId="7" type="noConversion"/>
  </si>
  <si>
    <t>INVTRA_DSATPHAHI^</t>
  </si>
  <si>
    <t>P00.11</t>
  </si>
  <si>
    <t>OPTICAL_ENCODER_R_PI</t>
  </si>
  <si>
    <t>P10.0</t>
  </si>
  <si>
    <t>Replaced by OPTICAL_ENCODER_R_PI</t>
  </si>
  <si>
    <t>RESA_COSLO_OC_VI</t>
  </si>
  <si>
    <t>P33.1</t>
    <phoneticPr fontId="7" type="noConversion"/>
  </si>
  <si>
    <t>INVTRA_DSATPHBHI^</t>
  </si>
  <si>
    <t>P10.7</t>
  </si>
  <si>
    <t>OPTICAL_ENCODER_B_PI</t>
  </si>
  <si>
    <t>P10.8</t>
    <phoneticPr fontId="7" type="noConversion"/>
  </si>
  <si>
    <t>Replaced by OPTICAL_ENCODER_B_PI</t>
  </si>
  <si>
    <t>RESA_SINLO_OC_VI</t>
  </si>
  <si>
    <t>P33.0</t>
    <phoneticPr fontId="7" type="noConversion"/>
  </si>
  <si>
    <t>INVTRA_DSATPHCHI^</t>
  </si>
  <si>
    <t>P11.7</t>
  </si>
  <si>
    <t>FORK_PWM</t>
  </si>
  <si>
    <t>INVTRA_MTRATEMP2_AI</t>
  </si>
  <si>
    <t>AN23</t>
  </si>
  <si>
    <t>Replaced by INVTRA_MTRATEMP2_AI</t>
  </si>
  <si>
    <t>INVTRA_DSATPHALO^</t>
  </si>
  <si>
    <t>P20.3</t>
  </si>
  <si>
    <t>ATO_SYNC</t>
    <phoneticPr fontId="7" type="noConversion"/>
  </si>
  <si>
    <t>ATO Reserved</t>
    <phoneticPr fontId="7" type="noConversion"/>
  </si>
  <si>
    <t>VREF4_AI</t>
  </si>
  <si>
    <t>AN1</t>
  </si>
  <si>
    <t>Delete</t>
    <phoneticPr fontId="7" type="noConversion"/>
  </si>
  <si>
    <t>INVTRA_DSATPHBLO^</t>
  </si>
  <si>
    <t>P20.8</t>
  </si>
  <si>
    <t>INVTRA_IOUTC_CURRENT_AI</t>
  </si>
  <si>
    <t>AN18/P40.11</t>
    <phoneticPr fontId="7" type="noConversion"/>
  </si>
  <si>
    <t>INVTRA_DSATPHCLO^</t>
  </si>
  <si>
    <t>P01.6</t>
  </si>
  <si>
    <t>Note : value returned is duty cycle in 2-byte, 2-byte frequency</t>
    <phoneticPr fontId="7" type="noConversion"/>
  </si>
  <si>
    <t>RESA_EXC+_DIAG_AI</t>
  </si>
  <si>
    <t>AN19/P40.12</t>
  </si>
  <si>
    <t>INVTRA_PHAOCFLT^</t>
  </si>
  <si>
    <t>P34.4</t>
  </si>
  <si>
    <t>INVTRA_18V_HV_AI</t>
  </si>
  <si>
    <t>AN24/P40.0</t>
    <phoneticPr fontId="7" type="noConversion"/>
  </si>
  <si>
    <t>INVTRA_PHBOCFLT^</t>
  </si>
  <si>
    <t>P11.4</t>
  </si>
  <si>
    <t>RESA_SIN_BIAS_AI</t>
  </si>
  <si>
    <t>AN28/P40.13</t>
  </si>
  <si>
    <t>INVTRA_PHCOCFLT^</t>
  </si>
  <si>
    <t>P22.4</t>
  </si>
  <si>
    <t>RESA_COS_BIAS_AI</t>
  </si>
  <si>
    <t>AN29/P40.14</t>
    <phoneticPr fontId="7" type="noConversion"/>
  </si>
  <si>
    <t>INVTRA_SHUTOFF_FB</t>
  </si>
  <si>
    <t>AN32/P40.4</t>
  </si>
  <si>
    <t>P15.6</t>
  </si>
  <si>
    <t>BOARD_TEMP_AI</t>
  </si>
  <si>
    <t>AN35</t>
    <phoneticPr fontId="7" type="noConversion"/>
  </si>
  <si>
    <t>INVTRA_UVLO^</t>
  </si>
  <si>
    <t>P11.14</t>
  </si>
  <si>
    <t>INVTRA_PH_BU_TEMP_PI</t>
  </si>
  <si>
    <t>P15.7</t>
  </si>
  <si>
    <t>INVTRA_MTRATEMP1_RTN_AI</t>
  </si>
  <si>
    <t>AN33/P40.5</t>
  </si>
  <si>
    <t>Replaced by INVTRA_MTRATEMP1_RTN_AI</t>
  </si>
  <si>
    <t>INVTRA_UVUP^</t>
  </si>
  <si>
    <t>P14.10</t>
  </si>
  <si>
    <t>INVTRA_PH_CU_TEMP_PI</t>
  </si>
  <si>
    <t>P15.8</t>
    <phoneticPr fontId="7" type="noConversion"/>
  </si>
  <si>
    <t>INVTRA_MTRATEMP2_RTN_AI</t>
  </si>
  <si>
    <t>AN39/P40.9</t>
  </si>
  <si>
    <t>Replaced by INVTRA_MTRATEMP2_RTN_AI</t>
  </si>
  <si>
    <t>P22.5</t>
  </si>
  <si>
    <t>RES_EXC+_DIAG</t>
    <phoneticPr fontId="7" type="noConversion"/>
  </si>
  <si>
    <t>P14.8</t>
    <phoneticPr fontId="7" type="noConversion"/>
  </si>
  <si>
    <t>INVTRA_PH_AL_TEMP_PI</t>
  </si>
  <si>
    <t>P00.5</t>
  </si>
  <si>
    <t>INVTRA_MTRTEMP1_AI</t>
  </si>
  <si>
    <t>AN46</t>
    <phoneticPr fontId="7" type="noConversion"/>
  </si>
  <si>
    <t>R2D_RES_DOS</t>
  </si>
  <si>
    <t>ATO Delete</t>
  </si>
  <si>
    <t>RES_EXC-_DIAG</t>
    <phoneticPr fontId="7" type="noConversion"/>
  </si>
  <si>
    <t>P14.9</t>
    <phoneticPr fontId="7" type="noConversion"/>
  </si>
  <si>
    <t>INVTRA_PH_BL_TEMP_PI</t>
  </si>
  <si>
    <t>P32.4</t>
    <phoneticPr fontId="7" type="noConversion"/>
  </si>
  <si>
    <t>PSR_AI</t>
  </si>
  <si>
    <t>AN36/P40.6</t>
    <phoneticPr fontId="7" type="noConversion"/>
  </si>
  <si>
    <t>R2D_RES_LOT</t>
    <phoneticPr fontId="7" type="noConversion"/>
  </si>
  <si>
    <t>ATO Delete</t>
    <phoneticPr fontId="7" type="noConversion"/>
  </si>
  <si>
    <t>MTR_ASC_SPEED</t>
    <phoneticPr fontId="7" type="noConversion"/>
  </si>
  <si>
    <t>P11.1</t>
    <phoneticPr fontId="7" type="noConversion"/>
  </si>
  <si>
    <t>INVTRA_PH_CL_TEMP_PI</t>
  </si>
  <si>
    <t>P23.3</t>
    <phoneticPr fontId="7" type="noConversion"/>
  </si>
  <si>
    <t>VCC_AI</t>
  </si>
  <si>
    <t>AN37/P40.7</t>
    <phoneticPr fontId="7" type="noConversion"/>
  </si>
  <si>
    <t>INVTRA_MASTER_FLT^</t>
  </si>
  <si>
    <t>P11.0</t>
  </si>
  <si>
    <t>MTR_FW_SPEED</t>
    <phoneticPr fontId="7" type="noConversion"/>
  </si>
  <si>
    <t>P11.2</t>
  </si>
  <si>
    <t>15V_AI</t>
  </si>
  <si>
    <t>AN40</t>
    <phoneticPr fontId="7" type="noConversion"/>
  </si>
  <si>
    <t>CRASH_HI_AI</t>
    <phoneticPr fontId="7" type="noConversion"/>
  </si>
  <si>
    <t>D8</t>
  </si>
  <si>
    <t>No Crash</t>
  </si>
  <si>
    <t>Note: values returned as 4-byte float values, IEEE-754</t>
    <phoneticPr fontId="7" type="noConversion"/>
  </si>
  <si>
    <t>VMUX_OUT_AI</t>
  </si>
  <si>
    <t>AN41</t>
    <phoneticPr fontId="7" type="noConversion"/>
  </si>
  <si>
    <t>CRASH_LO_AI</t>
    <phoneticPr fontId="7" type="noConversion"/>
  </si>
  <si>
    <t>W12</t>
  </si>
  <si>
    <t>COOLANT_IN_TEMP_AI</t>
  </si>
  <si>
    <t>Replaced by COOLANT_IN_TEMP_AI</t>
  </si>
  <si>
    <t>ACUDRV_FLT^</t>
  </si>
  <si>
    <t>P32.3</t>
  </si>
  <si>
    <t>COOLANT_OUT_TEMP_AI</t>
  </si>
  <si>
    <t>AN17/P40.10</t>
    <phoneticPr fontId="7" type="noConversion"/>
  </si>
  <si>
    <t>ALM_FLT^</t>
    <phoneticPr fontId="7" type="noConversion"/>
  </si>
  <si>
    <t>P23.2</t>
  </si>
  <si>
    <t>VREF3_AI</t>
  </si>
  <si>
    <t>AN27/P40.3</t>
    <phoneticPr fontId="7" type="noConversion"/>
  </si>
  <si>
    <t>15V_SAFETY_AI</t>
  </si>
  <si>
    <t>P01.4</t>
    <phoneticPr fontId="7" type="noConversion"/>
  </si>
  <si>
    <t>5V_SAFETY_AI</t>
  </si>
  <si>
    <t>P01.3</t>
    <phoneticPr fontId="7" type="noConversion"/>
  </si>
  <si>
    <t>AN1</t>
    <phoneticPr fontId="7" type="noConversion"/>
  </si>
  <si>
    <t>VBATT_MOT_FB_VI</t>
    <phoneticPr fontId="7" type="noConversion"/>
  </si>
  <si>
    <t>AN9</t>
    <phoneticPr fontId="7" type="noConversion"/>
  </si>
  <si>
    <t>SCALED_VBATT_AI</t>
  </si>
  <si>
    <t>P00.3</t>
    <phoneticPr fontId="7" type="noConversion"/>
  </si>
  <si>
    <t>MOT_PHB_CURR_VI</t>
    <phoneticPr fontId="7" type="noConversion"/>
  </si>
  <si>
    <t>AN8</t>
    <phoneticPr fontId="7" type="noConversion"/>
  </si>
  <si>
    <t>RESA_EXCLO_DS</t>
  </si>
  <si>
    <t>P00.7</t>
    <phoneticPr fontId="7" type="noConversion"/>
  </si>
  <si>
    <t>RESA_EXCHI_DS</t>
  </si>
  <si>
    <t>P00.8</t>
    <phoneticPr fontId="7" type="noConversion"/>
  </si>
  <si>
    <t>RED_RESA_SINLO_DS</t>
  </si>
  <si>
    <t>AN45</t>
    <phoneticPr fontId="7" type="noConversion"/>
  </si>
  <si>
    <t>RED_RESA_SINHI_DS</t>
  </si>
  <si>
    <t>AN44</t>
    <phoneticPr fontId="7" type="noConversion"/>
  </si>
  <si>
    <t>RESA_SINLO_DS</t>
  </si>
  <si>
    <t>AN21</t>
    <phoneticPr fontId="7" type="noConversion"/>
  </si>
  <si>
    <t>RESA_SINHI_DS</t>
  </si>
  <si>
    <t>AN20</t>
    <phoneticPr fontId="7" type="noConversion"/>
  </si>
  <si>
    <t>RED_RESA_COSLO_DS</t>
  </si>
  <si>
    <t>AN15</t>
    <phoneticPr fontId="7" type="noConversion"/>
  </si>
  <si>
    <t>RED_RESA_COSHI_DS</t>
  </si>
  <si>
    <t>AN14</t>
    <phoneticPr fontId="7" type="noConversion"/>
  </si>
  <si>
    <t>RESA_COSLO_DS</t>
  </si>
  <si>
    <t>AN13</t>
    <phoneticPr fontId="7" type="noConversion"/>
  </si>
  <si>
    <t>RESA_COSHI_DS</t>
  </si>
  <si>
    <t>AN12</t>
    <phoneticPr fontId="7" type="noConversion"/>
  </si>
  <si>
    <t>INVTRA_MTRTEMP_RTN_AI</t>
  </si>
  <si>
    <t>INVTRA_OILTEMP_RTN_AI</t>
  </si>
  <si>
    <t>INVTRA_HVDC_SENSE2_AI</t>
  </si>
  <si>
    <t>AN6</t>
    <phoneticPr fontId="7" type="noConversion"/>
  </si>
  <si>
    <t>CS_5V_SAFETY_AI</t>
  </si>
  <si>
    <t>VREF1_FB_AI</t>
  </si>
  <si>
    <t>AN30</t>
    <phoneticPr fontId="7" type="noConversion"/>
  </si>
  <si>
    <t>INVTRA_CS_5V_SAFETY_RTN_FB_AI</t>
  </si>
  <si>
    <t>AN38/P40.8</t>
    <phoneticPr fontId="7" type="noConversion"/>
  </si>
  <si>
    <t xml:space="preserve"> VREF1_AI</t>
  </si>
  <si>
    <t>AN31</t>
    <phoneticPr fontId="7" type="noConversion"/>
  </si>
  <si>
    <t>5V_LV_UP_AI</t>
  </si>
  <si>
    <t>AN25/P40.1</t>
    <phoneticPr fontId="7" type="noConversion"/>
  </si>
  <si>
    <t>RED_INVTRA_IOUTA_CURRENT_AI</t>
  </si>
  <si>
    <t>AN34</t>
    <phoneticPr fontId="7" type="noConversion"/>
  </si>
  <si>
    <t>RED_INVTRA_IOUTB_CURRENT_AI</t>
  </si>
  <si>
    <t>P00.10</t>
    <phoneticPr fontId="7" type="noConversion"/>
  </si>
  <si>
    <t>RED_INVTRA_IOUTC_CURRENT_AI</t>
  </si>
  <si>
    <t>P33.5</t>
    <phoneticPr fontId="7" type="noConversion"/>
  </si>
  <si>
    <t>Internal Enables Table</t>
    <phoneticPr fontId="7" type="noConversion"/>
  </si>
  <si>
    <t>Pulse Output Table</t>
    <phoneticPr fontId="7" type="noConversion"/>
  </si>
  <si>
    <t>R2D_RES_RESET^</t>
  </si>
  <si>
    <t>ADC_TEST_CMD</t>
    <phoneticPr fontId="7" type="noConversion"/>
  </si>
  <si>
    <t>P11.13</t>
    <phoneticPr fontId="7" type="noConversion"/>
  </si>
  <si>
    <t>INVTRA_FLT_RST_OC</t>
  </si>
  <si>
    <t>P22.9</t>
  </si>
  <si>
    <t>Replaced by INVTRA_FLT_RST_OC</t>
  </si>
  <si>
    <t>INVTRA_PWM_AHI_C</t>
  </si>
  <si>
    <t>P10.1</t>
  </si>
  <si>
    <t>PWR_HOLD_ON</t>
  </si>
  <si>
    <t>P13.2</t>
    <phoneticPr fontId="31" type="noConversion"/>
  </si>
  <si>
    <t>INVTRA_PWM_ALO_C</t>
  </si>
  <si>
    <t>P15.2</t>
    <phoneticPr fontId="7" type="noConversion"/>
  </si>
  <si>
    <t>INVTRA_TRQ_SCRTY_DIS^</t>
  </si>
  <si>
    <t>P13.3</t>
    <phoneticPr fontId="31" type="noConversion"/>
  </si>
  <si>
    <t>INVTRA_PWM_BHI_C</t>
  </si>
  <si>
    <t>P10.2</t>
  </si>
  <si>
    <t>INVTRA_ENBIAS_HI</t>
  </si>
  <si>
    <t>P14.1</t>
  </si>
  <si>
    <t>INVTRA_PWM_BLO_C</t>
  </si>
  <si>
    <t>P15.3</t>
  </si>
  <si>
    <t>P14.6</t>
  </si>
  <si>
    <t>INVTRA_PWM_CHI_C</t>
  </si>
  <si>
    <t>P10.3</t>
    <phoneticPr fontId="7" type="noConversion"/>
  </si>
  <si>
    <t>INVTRA_ENSW</t>
  </si>
  <si>
    <t>P14.7</t>
  </si>
  <si>
    <t>INVTRA_PWM_CLO_C</t>
  </si>
  <si>
    <t>P15.4</t>
    <phoneticPr fontId="7" type="noConversion"/>
  </si>
  <si>
    <t>INVTRA_ACT_SC_SEL</t>
  </si>
  <si>
    <t>P15.5</t>
    <phoneticPr fontId="31" type="noConversion"/>
  </si>
  <si>
    <r>
      <t xml:space="preserve">HV_DISCHG
</t>
    </r>
    <r>
      <rPr>
        <strike/>
        <sz val="10"/>
        <color rgb="FFFF0000"/>
        <rFont val="Arial"/>
        <family val="2"/>
      </rPr>
      <t xml:space="preserve">96 Hz, 50% Duty Cycle                 </t>
    </r>
    <r>
      <rPr>
        <strike/>
        <sz val="10"/>
        <rFont val="Arial"/>
        <family val="2"/>
      </rPr>
      <t xml:space="preserve">Inactive - No discharge required 
</t>
    </r>
    <r>
      <rPr>
        <strike/>
        <sz val="10"/>
        <color rgb="FFFF0000"/>
        <rFont val="Arial"/>
        <family val="2"/>
      </rPr>
      <t xml:space="preserve">256 Hz, 50% Duty Cycle               </t>
    </r>
    <r>
      <rPr>
        <strike/>
        <sz val="10"/>
        <rFont val="Arial"/>
        <family val="2"/>
      </rPr>
      <t xml:space="preserve">Active - Active discharge required 
</t>
    </r>
    <r>
      <rPr>
        <strike/>
        <sz val="10"/>
        <color rgb="FFFF0000"/>
        <rFont val="Arial"/>
        <family val="2"/>
      </rPr>
      <t xml:space="preserve">High (signal off, pulled up)            </t>
    </r>
    <r>
      <rPr>
        <strike/>
        <sz val="10"/>
        <rFont val="Arial"/>
        <family val="2"/>
      </rPr>
      <t xml:space="preserve">Fault - Main processor is in RESET or has failed 
</t>
    </r>
    <r>
      <rPr>
        <strike/>
        <sz val="10"/>
        <color rgb="FFFF0000"/>
        <rFont val="Arial"/>
        <family val="2"/>
      </rPr>
      <t>Low</t>
    </r>
    <r>
      <rPr>
        <strike/>
        <sz val="10"/>
        <rFont val="Arial"/>
        <family val="2"/>
      </rPr>
      <t xml:space="preserve">                                               This state should not be possible
Tolerances for decoding the incoming HV_DISCHRG signal will be as follows:
</t>
    </r>
    <r>
      <rPr>
        <strike/>
        <sz val="10"/>
        <color rgb="FFFF0000"/>
        <rFont val="Arial"/>
        <family val="2"/>
      </rPr>
      <t xml:space="preserve"> 63 Hz &lt; Frequency &lt; 156 Hz</t>
    </r>
    <r>
      <rPr>
        <strike/>
        <sz val="10"/>
        <rFont val="Arial"/>
        <family val="2"/>
      </rPr>
      <t xml:space="preserve"> – Inactive State (no discharge required)
</t>
    </r>
    <r>
      <rPr>
        <strike/>
        <sz val="10"/>
        <color rgb="FFFF0000"/>
        <rFont val="Arial"/>
        <family val="2"/>
      </rPr>
      <t>188 Hz &lt; Frequency &lt; 313 Hz</t>
    </r>
    <r>
      <rPr>
        <strike/>
        <sz val="10"/>
        <rFont val="Arial"/>
        <family val="2"/>
      </rPr>
      <t xml:space="preserve"> – Active State (discharge required)
</t>
    </r>
    <r>
      <rPr>
        <strike/>
        <sz val="10"/>
        <color rgb="FFFF0000"/>
        <rFont val="Arial"/>
        <family val="2"/>
      </rPr>
      <t>(Frequency &lt; 63 Hz) or (Frequency &gt; 313 Hz)</t>
    </r>
    <r>
      <rPr>
        <strike/>
        <sz val="10"/>
        <rFont val="Arial"/>
        <family val="2"/>
      </rPr>
      <t xml:space="preserve"> -  Fault State 
</t>
    </r>
  </si>
  <si>
    <t>P22.11</t>
  </si>
  <si>
    <t>INVTRA_ACT_SC^</t>
  </si>
  <si>
    <t>P20.0</t>
    <phoneticPr fontId="31" type="noConversion"/>
  </si>
  <si>
    <t>INVTRA_MTR_DIS^</t>
  </si>
  <si>
    <t>P20.1</t>
    <phoneticPr fontId="31" type="noConversion"/>
  </si>
  <si>
    <t>INVTRA_FLTRST_OV</t>
  </si>
  <si>
    <t>P22.6</t>
    <phoneticPr fontId="31" type="noConversion"/>
  </si>
  <si>
    <t>INVTRA_FLTRST_UV_UP</t>
  </si>
  <si>
    <t>P11.8</t>
    <phoneticPr fontId="31" type="noConversion"/>
  </si>
  <si>
    <t>INVTRA_FLTRST_UV_LO</t>
  </si>
  <si>
    <t>P22.8</t>
    <phoneticPr fontId="31" type="noConversion"/>
  </si>
  <si>
    <t>P32.5</t>
  </si>
  <si>
    <t>L3_ASC_FW_TEST</t>
  </si>
  <si>
    <t>P23.0</t>
    <phoneticPr fontId="31" type="noConversion"/>
  </si>
  <si>
    <t>R2D_RES_CS^</t>
    <phoneticPr fontId="7" type="noConversion"/>
  </si>
  <si>
    <t>INVTRA_MTRATEMP2_SEL</t>
  </si>
  <si>
    <t>P23.7</t>
  </si>
  <si>
    <t>Replaced by INVTRA_MTRATEMP2_SEL</t>
  </si>
  <si>
    <t>R2D_RES_FS1</t>
    <phoneticPr fontId="7" type="noConversion"/>
  </si>
  <si>
    <t>R2D_RES_FS2</t>
    <phoneticPr fontId="7" type="noConversion"/>
  </si>
  <si>
    <t>INVTRA_FLTOVRD_OV</t>
  </si>
  <si>
    <t>P32.5</t>
    <phoneticPr fontId="31" type="noConversion"/>
  </si>
  <si>
    <t>HVDC_SENSE_TEST_EN</t>
  </si>
  <si>
    <t>P32.6</t>
    <phoneticPr fontId="31" type="noConversion"/>
  </si>
  <si>
    <t>HVDC_SENSE_TEST_SEL</t>
  </si>
  <si>
    <t>P32.7</t>
    <phoneticPr fontId="31" type="noConversion"/>
  </si>
  <si>
    <t>PIC_MCLR</t>
    <phoneticPr fontId="7" type="noConversion"/>
  </si>
  <si>
    <t>P33.3</t>
  </si>
  <si>
    <t>R2D_RES_RDVEL^</t>
    <phoneticPr fontId="7" type="noConversion"/>
  </si>
  <si>
    <t>INVTRA_FLTOVRD_OCA</t>
  </si>
  <si>
    <t>P33.11</t>
  </si>
  <si>
    <t>INVTRA_FLTOVRD_OCB</t>
  </si>
  <si>
    <t>P33.12</t>
  </si>
  <si>
    <t>INVTRA_FLTOVRD_OCC</t>
  </si>
  <si>
    <t>P33.13</t>
  </si>
  <si>
    <t>P23.5</t>
  </si>
  <si>
    <t>Replaced by INVTRA_MTRATEMP1_EN</t>
  </si>
  <si>
    <t>INVTRA_MTRATEMP2_EN</t>
  </si>
  <si>
    <t>P32.0</t>
  </si>
  <si>
    <t>Replaced by INVTRA_MTRATEMP2_EN</t>
  </si>
  <si>
    <t>ACT_DISC</t>
    <phoneticPr fontId="7" type="noConversion"/>
  </si>
  <si>
    <t>P00.2</t>
    <phoneticPr fontId="31" type="noConversion"/>
  </si>
  <si>
    <t>Added</t>
  </si>
  <si>
    <t>L3_FS_SAFESTATE</t>
  </si>
  <si>
    <t>P33.8</t>
  </si>
  <si>
    <t>3PS_OVERRIDE</t>
  </si>
  <si>
    <t>P00.9</t>
    <phoneticPr fontId="31" type="noConversion"/>
  </si>
  <si>
    <t>ACUDRV_WAKE</t>
    <phoneticPr fontId="7" type="noConversion"/>
  </si>
  <si>
    <t>P34.5</t>
    <phoneticPr fontId="31" type="noConversion"/>
  </si>
  <si>
    <t>MOT_EN</t>
    <phoneticPr fontId="7" type="noConversion"/>
  </si>
  <si>
    <t>P22.2</t>
    <phoneticPr fontId="31" type="noConversion"/>
  </si>
  <si>
    <t>ALM_DIS</t>
    <phoneticPr fontId="7" type="noConversion"/>
  </si>
  <si>
    <t>15VSPEIC_DIS</t>
    <phoneticPr fontId="7" type="noConversion"/>
  </si>
  <si>
    <t>P23.1</t>
  </si>
  <si>
    <t>Add</t>
  </si>
  <si>
    <t>RAM Test Status</t>
  </si>
  <si>
    <t>enum</t>
  </si>
  <si>
    <t>Internal RAM test status (0=not completed, 1=successful, 2=failed)</t>
  </si>
  <si>
    <t>External RAM test status (0=not completed, 1=successful, 2=failed)</t>
  </si>
  <si>
    <t>RAM Test Diag</t>
  </si>
  <si>
    <t>*uint16</t>
  </si>
  <si>
    <t>Internal RAM address where test failed</t>
  </si>
  <si>
    <t>uint8</t>
  </si>
  <si>
    <t>Value read when test failed</t>
  </si>
  <si>
    <t>unused</t>
  </si>
  <si>
    <t>External RAM address where test failed</t>
  </si>
  <si>
    <t>FT_C3PS_TDE_Data</t>
  </si>
  <si>
    <t>BUCKH (uint16, ADC Count)</t>
    <phoneticPr fontId="29" type="noConversion"/>
  </si>
  <si>
    <t>BUCKL (uint16, ADC Count)</t>
    <phoneticPr fontId="29" type="noConversion"/>
  </si>
  <si>
    <t>VCCL (uint16, ADC Count)</t>
    <phoneticPr fontId="29" type="noConversion"/>
  </si>
  <si>
    <t>VCCL (uint16, ADC Count)</t>
  </si>
  <si>
    <t>FT_C3PS_CLKOUT (uint32, 10ns per cnt)</t>
  </si>
  <si>
    <t xml:space="preserve">Cur value </t>
  </si>
  <si>
    <t>Min Value</t>
  </si>
  <si>
    <t>Max Value</t>
  </si>
  <si>
    <t>PIC Result Table</t>
  </si>
  <si>
    <t>PIC Control Table</t>
  </si>
  <si>
    <t>0</t>
  </si>
  <si>
    <t>inputs (Note1)</t>
  </si>
  <si>
    <t>Bit 0 = out_Asc_Fw_Sel</t>
  </si>
  <si>
    <t>HVSense (uint16)</t>
  </si>
  <si>
    <t>Bit 1 = out_ASC_Up_Lo_Sel</t>
  </si>
  <si>
    <t>AscSpeed (uint16)</t>
  </si>
  <si>
    <t>FwSpeed (uint16)</t>
  </si>
  <si>
    <t>Note1:</t>
    <phoneticPr fontId="29" type="noConversion"/>
  </si>
  <si>
    <t>Bit 0 = in_Asc_Fw_Fb</t>
    <phoneticPr fontId="29" type="noConversion"/>
  </si>
  <si>
    <t>Bit 1 = in_L3_Asc_Fb</t>
  </si>
  <si>
    <t xml:space="preserve">Bit 2 = in_Ioen </t>
  </si>
  <si>
    <t>Bit 3 = in_L3_Shutoff</t>
  </si>
  <si>
    <t>Motor Status Data (read only)</t>
    <phoneticPr fontId="7" type="noConversion"/>
  </si>
  <si>
    <t>Motor Control Gain Settings</t>
  </si>
  <si>
    <t>Motor Control Limits</t>
    <phoneticPr fontId="7" type="noConversion"/>
  </si>
  <si>
    <t>Comments</t>
    <phoneticPr fontId="7" type="noConversion"/>
  </si>
  <si>
    <t>Defaults</t>
  </si>
  <si>
    <t>Notes</t>
  </si>
  <si>
    <t>Ramp_Mode
Motor Mode Values</t>
    <phoneticPr fontId="7" type="noConversion"/>
  </si>
  <si>
    <t>Motor Mode Values   
OPEN_LOOP_RAMP_INIT = 0,                                                    OPEN_LOOP_RAMP_UP = 1,                                                   OPEN_LOOP_RAMP_HOLD = 2,  
OPEN_LOOP_RAMP_DOWN = 3,  
OPEN_LOOP_RAMP_DONE = 4,                            OPEN_LOOP_RAMP_UP_2_NEW_CURRENT = 5,                                              OPEN_LOOP_RAMP_DOWN_2_NEW_CURRENT = 6</t>
    <phoneticPr fontId="7" type="noConversion"/>
  </si>
  <si>
    <t>FTM_KID</t>
  </si>
  <si>
    <t>Integral gain of Ids current regulator</t>
  </si>
  <si>
    <t>FTM_KIQ</t>
  </si>
  <si>
    <t>Integral gain of Iqs current regulator</t>
  </si>
  <si>
    <t>PwrMod_Temp_Min</t>
  </si>
  <si>
    <t xml:space="preserve"> -40℃</t>
  </si>
  <si>
    <t>FTM_KPD</t>
  </si>
  <si>
    <t>Proportional gain of Ids current regulator</t>
  </si>
  <si>
    <t>Motor_Temp_Max</t>
  </si>
  <si>
    <t>FTM_KPQ</t>
  </si>
  <si>
    <t>Proportional gain of Iqs current regulator</t>
  </si>
  <si>
    <t>Motor_Temp_Min</t>
  </si>
  <si>
    <t>Status
Motor Status Values</t>
    <phoneticPr fontId="7" type="noConversion"/>
  </si>
  <si>
    <t>Motor Status Values                                       OPEN_LOOP_SEQ_INIT = 0,                      OPEN_LOOP_SEQ_RUNNING = 1,
OPEN_LOOP_SEQ_SUCCESS = 2,  OPEN_LOOP_SEQ_DIAG_FAULT = 3,   OPEN_LOOP_SEQ_PARAM_FAULT = 4,   OPEN_LOOP_SEQ_MANUAL_OVERRIDE = 5</t>
    <phoneticPr fontId="7" type="noConversion"/>
  </si>
  <si>
    <t>Note: all values above are floating pt. IEEE754</t>
  </si>
  <si>
    <t>Board_Temp_Min</t>
  </si>
  <si>
    <t>Max_Phase_Current</t>
  </si>
  <si>
    <t>Motor RPM Out</t>
  </si>
  <si>
    <t>Unuse</t>
    <phoneticPr fontId="7" type="noConversion"/>
  </si>
  <si>
    <r>
      <rPr>
        <b/>
        <sz val="10"/>
        <rFont val="Arial"/>
        <family val="2"/>
      </rPr>
      <t>Motor RPM</t>
    </r>
    <r>
      <rPr>
        <sz val="10"/>
        <rFont val="Arial"/>
        <family val="2"/>
      </rPr>
      <t xml:space="preserve"> (float32, rpm)</t>
    </r>
  </si>
  <si>
    <t>Vbus_Min</t>
  </si>
  <si>
    <r>
      <rPr>
        <b/>
        <sz val="10"/>
        <rFont val="Arial"/>
        <family val="2"/>
      </rPr>
      <t>Motor RPM_Max</t>
    </r>
    <r>
      <rPr>
        <sz val="10"/>
        <rFont val="Arial"/>
        <family val="2"/>
      </rPr>
      <t xml:space="preserve"> (float32, rpm)</t>
    </r>
  </si>
  <si>
    <r>
      <rPr>
        <b/>
        <sz val="10"/>
        <rFont val="Arial"/>
        <family val="2"/>
      </rPr>
      <t>Motor RPM_Min</t>
    </r>
    <r>
      <rPr>
        <sz val="10"/>
        <rFont val="Arial"/>
        <family val="2"/>
      </rPr>
      <t xml:space="preserve"> (float32, rpm)</t>
    </r>
  </si>
  <si>
    <t>Fault_Status</t>
    <phoneticPr fontId="7" type="noConversion"/>
  </si>
  <si>
    <t xml:space="preserve">PACKED FAULTS                                                                           dtc_PhA_Over_Current_flt         =  bit 0
dtc_PhB_Over_Current_flt         =  bit 1
dtc_PhC_Over_Current_flt         =  bit 2
dtc_PhA_Over_Current_Hw_flt  =  bit 3
dtc_PhB_Over_Current_Hw_flt  =  bit 4
dtc_PhC_Over_Current_Hw_flt  =  bit 5
dtc_Bus_Under_Volt_flt               =  bit 6
dtc_Bus_Over_Volt_flt                =  bit 7         </t>
    <phoneticPr fontId="7" type="noConversion"/>
  </si>
  <si>
    <r>
      <rPr>
        <b/>
        <sz val="10"/>
        <color rgb="FF000000"/>
        <rFont val="Arial"/>
        <family val="2"/>
      </rPr>
      <t>Speed_Control_Enable</t>
    </r>
    <r>
      <rPr>
        <sz val="10"/>
        <color indexed="8"/>
        <rFont val="Arial"/>
        <family val="2"/>
      </rPr>
      <t xml:space="preserve"> (set to 1, for speed control)</t>
    </r>
  </si>
  <si>
    <r>
      <rPr>
        <b/>
        <sz val="10"/>
        <color rgb="FF000000"/>
        <rFont val="Arial"/>
        <family val="2"/>
      </rPr>
      <t>Speed_Setpt</t>
    </r>
    <r>
      <rPr>
        <sz val="10"/>
        <color indexed="8"/>
        <rFont val="Arial"/>
        <family val="2"/>
      </rPr>
      <t xml:space="preserve"> (float32, rpm)</t>
    </r>
  </si>
  <si>
    <r>
      <rPr>
        <b/>
        <sz val="10"/>
        <color rgb="FF000000"/>
        <rFont val="Arial"/>
        <family val="2"/>
      </rPr>
      <t>Voltage_Control_Enable</t>
    </r>
    <r>
      <rPr>
        <sz val="10"/>
        <color indexed="8"/>
        <rFont val="Arial"/>
        <family val="2"/>
      </rPr>
      <t xml:space="preserve"> (set to 1, for voltage control)</t>
    </r>
  </si>
  <si>
    <t>dtc_Bus_Over_Volt_Hw_Flt          = bit 0
dtc_Board_Temp_Flt                      = bit 1
dtc_Phase_AL1_Temp_flt              = bit 2
dtc_Phase_BL1_Temp_flt              = bit 3
dtc_Phase_CL1_Temp_flt              = bit 4
dtc_Phase_AU1_Temp_flt              = bit 5
dtc_Phase_BU1_Temp_flt              = bit 6
dtc_Phase_CU1_Temp_flt              = bit 7</t>
    <phoneticPr fontId="7" type="noConversion"/>
  </si>
  <si>
    <t>Voltage_Setpt (float32, V)</t>
  </si>
  <si>
    <t>dtc_Motor_1_Temp_flt                   = bit 0
dtc_Desat_AHI_flt                           = bit 1
dtc_Desat_BHI_flt                           = bit 2
dtc_Desat_CHI_flt                           = bit 3
dtc_Desat_ALO_flt                          = bit 4
dtc_Desat_BLO_flt                          = bit 5
dtc_Desat_CLO_flt                          = bit 6
dtc_UV_Upper_Flt                           = bit 7</t>
    <phoneticPr fontId="7" type="noConversion"/>
  </si>
  <si>
    <t>Note 1: This one-byte value should always be 0x04 for closed loop current control</t>
  </si>
  <si>
    <t>Fault_Status</t>
  </si>
  <si>
    <t>Note 2: This value should be 10000 for nominal operation</t>
  </si>
  <si>
    <r>
      <rPr>
        <sz val="10"/>
        <color rgb="FF00B0F0"/>
        <rFont val="Arial"/>
        <family val="2"/>
      </rPr>
      <t>Blue background</t>
    </r>
    <r>
      <rPr>
        <sz val="10"/>
        <rFont val="Arial"/>
        <family val="2"/>
      </rPr>
      <t xml:space="preserve"> is value, not bit sequence</t>
    </r>
    <phoneticPr fontId="7" type="noConversion"/>
  </si>
  <si>
    <t>Note 3: floating point values conform to IEEE 754</t>
  </si>
  <si>
    <t>RESOLVER DATA</t>
  </si>
  <si>
    <t>Type</t>
  </si>
  <si>
    <t>Units</t>
  </si>
  <si>
    <t>float</t>
  </si>
  <si>
    <t>position</t>
  </si>
  <si>
    <t>degrees</t>
  </si>
  <si>
    <t>velocity</t>
  </si>
  <si>
    <t>frequency</t>
  </si>
  <si>
    <t xml:space="preserve">uint8_t </t>
  </si>
  <si>
    <t>faults</t>
  </si>
  <si>
    <t>Loss of Signal = 0,  Degradationg of Signal  = 1, Loss of Tracking = 2, No Fault  = 3</t>
  </si>
  <si>
    <t>EMUL RESOLVER DATA</t>
  </si>
  <si>
    <t>CURRENT SENSOR TEST COMMAND DATA</t>
  </si>
  <si>
    <t>uint8_t</t>
  </si>
  <si>
    <t>PhaseA_DC</t>
  </si>
  <si>
    <t xml:space="preserve"> 0=lower FET on, 100=upper fet on</t>
  </si>
  <si>
    <t>PhaseB_DC</t>
  </si>
  <si>
    <t>PhaseC_DC</t>
  </si>
  <si>
    <t>Phase_Change_Flag</t>
  </si>
  <si>
    <t xml:space="preserve"> 0=no data change, 1 = data change</t>
  </si>
  <si>
    <t xml:space="preserve"> change from 0 to 1 will reset the min and max currents</t>
  </si>
  <si>
    <t>CURRENT SENSOR TEST RESULT DATA</t>
  </si>
  <si>
    <t>PhaseC_Min_Current</t>
  </si>
  <si>
    <t>PhaseB_Max_Current</t>
  </si>
  <si>
    <t>PhaseC_Max_Current</t>
  </si>
  <si>
    <t>Step1</t>
  </si>
  <si>
    <t>Result</t>
  </si>
  <si>
    <t>Data Section</t>
  </si>
  <si>
    <t>Datafile Part #</t>
  </si>
  <si>
    <t/>
  </si>
  <si>
    <t>Data Order</t>
  </si>
  <si>
    <t>MSB</t>
  </si>
  <si>
    <t>Start Address</t>
  </si>
  <si>
    <t>End Address</t>
  </si>
  <si>
    <t>Target Device Name</t>
  </si>
  <si>
    <t>Target Device Memory Size</t>
  </si>
  <si>
    <t>Data Width  (bytes)</t>
  </si>
  <si>
    <t>1</t>
  </si>
  <si>
    <t>Check Value  Group ID</t>
  </si>
  <si>
    <t>$Address (Hex)</t>
  </si>
  <si>
    <t>$Initial Value or ROM  Default</t>
  </si>
  <si>
    <t># of Bytes/ Elements</t>
  </si>
  <si>
    <t># of Elements</t>
  </si>
  <si>
    <t>Initialization  Procedure</t>
  </si>
  <si>
    <t>$Valid  Functional  Contents  (Optional)</t>
  </si>
  <si>
    <t>#SOD</t>
  </si>
  <si>
    <t>Uint8 Array</t>
  </si>
  <si>
    <t>FV</t>
  </si>
  <si>
    <t>XX</t>
  </si>
  <si>
    <t>ASCII</t>
  </si>
  <si>
    <t>See Note 1, Note11</t>
  </si>
  <si>
    <t>BINARY</t>
  </si>
  <si>
    <t>See Note 3, Note11</t>
  </si>
  <si>
    <t>A</t>
  </si>
  <si>
    <t>See Note 2, Note11</t>
  </si>
  <si>
    <t>F</t>
  </si>
  <si>
    <t>End Model</t>
  </si>
  <si>
    <t>See Note 4, Note11</t>
  </si>
  <si>
    <t>See Note 5, Note11</t>
  </si>
  <si>
    <t>UPS Sequence Number</t>
  </si>
  <si>
    <t>4</t>
  </si>
  <si>
    <t>See Note 6, Note11</t>
  </si>
  <si>
    <t>Manufacturing Site</t>
  </si>
  <si>
    <t>Uint8</t>
  </si>
  <si>
    <t>Uint16</t>
  </si>
  <si>
    <t>MFG_Cal_INVTR_Phase_A_Current_Gain</t>
    <phoneticPr fontId="29" type="noConversion"/>
  </si>
  <si>
    <t>See Note 8, Note11</t>
  </si>
  <si>
    <t>MFG_Cal_INVTR_Phase_B_Current_Gain</t>
    <phoneticPr fontId="29" type="noConversion"/>
  </si>
  <si>
    <t>MFG_Cal_INVTR_Phase_C_Current_Gain</t>
    <phoneticPr fontId="29" type="noConversion"/>
  </si>
  <si>
    <t>MFG_Cal_INVTR_PH_AU_TEMP_offset</t>
    <phoneticPr fontId="29" type="noConversion"/>
  </si>
  <si>
    <t>MFG_Cal_INVTR_PH_BU_TEMP_offset</t>
    <phoneticPr fontId="29" type="noConversion"/>
  </si>
  <si>
    <t>MFG_Cal_INVTR_PH_CU_TEMP_offset</t>
    <phoneticPr fontId="29" type="noConversion"/>
  </si>
  <si>
    <t>MFG_Cal_INVTR_PH_CL_TEMP_offset</t>
    <phoneticPr fontId="29" type="noConversion"/>
  </si>
  <si>
    <t>MFG_Cal_INVTR_PH_BL_TEMP_offset</t>
    <phoneticPr fontId="29" type="noConversion"/>
  </si>
  <si>
    <t>MFG_Cal_INVTR_PH_AL_TEMP_offset</t>
    <phoneticPr fontId="29" type="noConversion"/>
  </si>
  <si>
    <t>See Note 3, Note11</t>
    <phoneticPr fontId="29" type="noConversion"/>
  </si>
  <si>
    <t>MFG_MPI_CRC</t>
  </si>
  <si>
    <t>See Note 9, Note11</t>
  </si>
  <si>
    <t>NOTE 1</t>
  </si>
  <si>
    <t>NOTE 2</t>
  </si>
  <si>
    <t>The information is available in the End Model drawing</t>
  </si>
  <si>
    <t>NOTE 3</t>
  </si>
  <si>
    <t>Write 0x00</t>
  </si>
  <si>
    <t>NOTE 4</t>
  </si>
  <si>
    <t>NOTE 5</t>
  </si>
  <si>
    <t>Calendar Year is coded ASCII (2022 coded 22, 0x32 0x32)</t>
  </si>
  <si>
    <t>NOTE 6</t>
  </si>
  <si>
    <t>NOTE 7</t>
  </si>
  <si>
    <t>For Suzhou final assembly = 'A' = '0x41'</t>
  </si>
  <si>
    <t>NOTE 8</t>
  </si>
  <si>
    <t>Data format is single float(32bits).</t>
  </si>
  <si>
    <t>NOTE 9</t>
  </si>
  <si>
    <t>NOTE 10</t>
  </si>
  <si>
    <t>NOTE 11</t>
  </si>
  <si>
    <t>This data is stored in big-endian mode</t>
  </si>
  <si>
    <t>NOTE 12</t>
  </si>
  <si>
    <t>These byte need to be written 0xAA 55 AA 55, if want enter the FT mode and default value is 0xFF FF FF FF.</t>
  </si>
  <si>
    <r>
      <t xml:space="preserve">         07 ef </t>
    </r>
    <r>
      <rPr>
        <sz val="10"/>
        <color rgb="FFFF0000"/>
        <rFont val="Arial"/>
        <family val="2"/>
      </rPr>
      <t>0c 0a 06 00</t>
    </r>
    <phoneticPr fontId="32" type="noConversion"/>
  </si>
  <si>
    <t>For example, to find the address for the FT_Current_Sense_Test_Cmd_Data, add the offset of 0x7C to the address returned above, 0x00060a0c to get the value 0x00060a88 and request the 4 byte address located there.</t>
    <phoneticPr fontId="32" type="noConversion"/>
  </si>
  <si>
    <t xml:space="preserve">         07 ee 00 06 0a 88 00 04 ff 00</t>
    <phoneticPr fontId="32" type="noConversion"/>
  </si>
  <si>
    <t>The address returned will be in the factory test ram area.  For this example, we assume that the address returned is 0x40040128</t>
    <phoneticPr fontId="32" type="noConversion"/>
  </si>
  <si>
    <r>
      <t xml:space="preserve">         07 ef </t>
    </r>
    <r>
      <rPr>
        <sz val="10"/>
        <color rgb="FFFF0000"/>
        <rFont val="Arial"/>
        <family val="2"/>
      </rPr>
      <t>28 01 04 40</t>
    </r>
    <phoneticPr fontId="32" type="noConversion"/>
  </si>
  <si>
    <t>Now if we wanted to command Phase B signal high, we would send a message with the 2nd byte set to 100, the flag byte ( 4th byte ) set to indicate that a change is being requested and the other bytes set to zero.  Either of the following sets of messages will accomplish this:</t>
    <phoneticPr fontId="32" type="noConversion"/>
  </si>
  <si>
    <t xml:space="preserve">       07 ee 40 04 01 28 00 05 00 00             this method writes to all 5 bytes                                                                                                                  .      07 ef  00 64 00 01 00</t>
    <phoneticPr fontId="32" type="noConversion"/>
  </si>
  <si>
    <t xml:space="preserve">       07 ee 40 04 01 29 00 03 00 00             this method writes to 3 bytes beginning with the second byte                                                                                                              .      07 ef  64 00 01</t>
    <phoneticPr fontId="32" type="noConversion"/>
  </si>
  <si>
    <t>For example, to find the address for the FT_Motor_Control_Data, add the offset of 0x6C to the address returned above, 0x00060a0c to get the value 0x00060a78 and request the 4 byte address located there.</t>
    <phoneticPr fontId="32" type="noConversion"/>
  </si>
  <si>
    <t xml:space="preserve">   07 ee 00 06 0a 78 00 04 ff 00</t>
    <phoneticPr fontId="32" type="noConversion"/>
  </si>
  <si>
    <t>The address returned will be in the factory test ram area.  For this example, we assume that the address returned is 0x400401aa</t>
    <phoneticPr fontId="32" type="noConversion"/>
  </si>
  <si>
    <r>
      <t xml:space="preserve"> 07 ef </t>
    </r>
    <r>
      <rPr>
        <sz val="10"/>
        <color rgb="FFFF0000"/>
        <rFont val="Arial"/>
        <family val="2"/>
      </rPr>
      <t>aa 01 04 40</t>
    </r>
    <phoneticPr fontId="32" type="noConversion"/>
  </si>
  <si>
    <t>Now if we wanted to command output_Frequency which is in Motor Control Data table, we would send a message with the from 1st to 4th byte set to 60(0x3C) Either of the following sets of messages will accomplish this:</t>
    <phoneticPr fontId="32" type="noConversion"/>
  </si>
  <si>
    <r>
      <t xml:space="preserve">       07 ee 40 04 01 aa 00 04 00 00             this method writes to all 4 bytes                                                                                                                  .      07 ef  </t>
    </r>
    <r>
      <rPr>
        <sz val="10"/>
        <color rgb="FFFF0000"/>
        <rFont val="Arial"/>
        <family val="2"/>
      </rPr>
      <t>3C 00 00 00</t>
    </r>
    <r>
      <rPr>
        <sz val="10"/>
        <rFont val="Arial"/>
        <family val="2"/>
      </rPr>
      <t xml:space="preserve"> </t>
    </r>
    <phoneticPr fontId="32" type="noConversion"/>
  </si>
  <si>
    <t>In the next example, we will read all 82 bytes from the analog inputs array.  (The table for Analog Inputs is on the sheet labeled Input Tables, and from that table we can determine how many bytes of data are in that array)</t>
  </si>
  <si>
    <t>The address of the analog inputs table in the first one in the CAN table so we do not have to add an offset to the CAN table address.  We do however have to request the 4 byte address at the first position of the CAN table with the following message</t>
  </si>
  <si>
    <t xml:space="preserve">         07 ee 00 06 0a 0c 00 04 ff 00</t>
  </si>
  <si>
    <t>Assuming the address is 0x40040048, the return message will be:</t>
    <phoneticPr fontId="32" type="noConversion"/>
  </si>
  <si>
    <r>
      <t xml:space="preserve">         07 ef </t>
    </r>
    <r>
      <rPr>
        <sz val="10"/>
        <color rgb="FFFF0000"/>
        <rFont val="Arial"/>
        <family val="2"/>
      </rPr>
      <t>48 00 04 40</t>
    </r>
    <phoneticPr fontId="32" type="noConversion"/>
  </si>
  <si>
    <t>From this address we will request 82 bytes (0x52)</t>
  </si>
  <si>
    <t xml:space="preserve">       07 ee 40 04 00 48 00 52 ff 00            - notice the 7th data byte is ff since we are uploading</t>
    <phoneticPr fontId="32" type="noConversion"/>
  </si>
  <si>
    <t>The controller will then respond with a series of messages until it has sent all 82 bytes</t>
  </si>
  <si>
    <t xml:space="preserve">         07 ef 03 e4 00 82 01 ff  00  f9</t>
    <phoneticPr fontId="32" type="noConversion"/>
  </si>
  <si>
    <t xml:space="preserve">         07 ef 02 e4 00 32 01 ff  00 19</t>
    <phoneticPr fontId="32" type="noConversion"/>
  </si>
  <si>
    <t xml:space="preserve">         07 ef 01 e4 00 72 01 ee 00 88</t>
    <phoneticPr fontId="32" type="noConversion"/>
  </si>
  <si>
    <t xml:space="preserve">         07 ef 03 f1  02 22 01 af 00 43</t>
    <phoneticPr fontId="32" type="noConversion"/>
  </si>
  <si>
    <t xml:space="preserve">         07 ef 03 f4  00 82 00  fe 00 f8</t>
    <phoneticPr fontId="32" type="noConversion"/>
  </si>
  <si>
    <t xml:space="preserve">         07 ef 01 a4 01 42 01 55 00 09</t>
    <phoneticPr fontId="32" type="noConversion"/>
  </si>
  <si>
    <t xml:space="preserve">         07 ef 03 67 00 92 01 f0 02 c9</t>
    <phoneticPr fontId="32" type="noConversion"/>
  </si>
  <si>
    <t xml:space="preserve">         07 ef 03  ff  00 00 01  f3 00 a1</t>
    <phoneticPr fontId="32" type="noConversion"/>
  </si>
  <si>
    <t xml:space="preserve">         07 ef 01 b4 00 45 01 01 01 d9</t>
    <phoneticPr fontId="32" type="noConversion"/>
  </si>
  <si>
    <t xml:space="preserve">         07 ef 03 01 00 74 01 a9 01 f9</t>
    <phoneticPr fontId="32" type="noConversion"/>
  </si>
  <si>
    <t xml:space="preserve">         07 ef 02 ff </t>
    <phoneticPr fontId="32" type="noConversion"/>
  </si>
  <si>
    <t>C0</t>
    <phoneticPr fontId="31" type="noConversion"/>
  </si>
  <si>
    <r>
      <t xml:space="preserve">CV 900A Project Testability Code </t>
    </r>
    <r>
      <rPr>
        <b/>
        <sz val="12"/>
        <color rgb="FFFF0000"/>
        <rFont val="Arial"/>
        <family val="2"/>
      </rPr>
      <t xml:space="preserve"> (the revision log is at the bottom of this sheet)</t>
    </r>
    <phoneticPr fontId="7" type="noConversion"/>
  </si>
  <si>
    <t>INVTRA_ENBIAS_LO</t>
    <phoneticPr fontId="7" type="noConversion"/>
  </si>
  <si>
    <t>INVTRA_MTRATEMP1_SEL</t>
    <phoneticPr fontId="7" type="noConversion"/>
  </si>
  <si>
    <t>24/08/2023</t>
    <phoneticPr fontId="7" type="noConversion"/>
  </si>
  <si>
    <t>22/08/2023</t>
    <phoneticPr fontId="7" type="noConversion"/>
  </si>
  <si>
    <t>18/08/2023</t>
    <phoneticPr fontId="7" type="noConversion"/>
  </si>
  <si>
    <r>
      <rPr>
        <sz val="10"/>
        <rFont val="Arial"/>
        <family val="2"/>
      </rPr>
      <t>The uodated content shows in blue colour</t>
    </r>
    <r>
      <rPr>
        <sz val="10"/>
        <rFont val="宋体"/>
        <family val="2"/>
        <charset val="134"/>
      </rPr>
      <t xml:space="preserve">：
</t>
    </r>
    <r>
      <rPr>
        <sz val="10"/>
        <rFont val="Arial"/>
        <family val="2"/>
      </rPr>
      <t>(1) Update the HWID/VID to 00100</t>
    </r>
    <r>
      <rPr>
        <sz val="10"/>
        <rFont val="宋体"/>
        <family val="2"/>
        <charset val="134"/>
      </rPr>
      <t xml:space="preserve">；
</t>
    </r>
    <r>
      <rPr>
        <sz val="10"/>
        <rFont val="Arial"/>
        <family val="2"/>
      </rPr>
      <t>(2) Add INVTRA_MTRATEMP1_RTN_AI and INVTRA_MTRATEMP2_RTN_AI in analog input table</t>
    </r>
    <r>
      <rPr>
        <sz val="10"/>
        <rFont val="宋体"/>
        <family val="2"/>
        <charset val="134"/>
      </rPr>
      <t>；</t>
    </r>
    <r>
      <rPr>
        <sz val="10"/>
        <rFont val="Arial"/>
        <family val="2"/>
      </rPr>
      <t xml:space="preserve">
(3) Add INVTRA_MTRATEMP1_EN and INVTRA_MTRATEMP2_EN in internal Enable table</t>
    </r>
    <r>
      <rPr>
        <sz val="10"/>
        <rFont val="宋体"/>
        <family val="2"/>
        <charset val="134"/>
      </rPr>
      <t>；</t>
    </r>
    <r>
      <rPr>
        <sz val="10"/>
        <rFont val="Arial"/>
        <family val="2"/>
      </rPr>
      <t xml:space="preserve">
(4) In Inverter Motor control table</t>
    </r>
    <r>
      <rPr>
        <sz val="10"/>
        <rFont val="宋体"/>
        <family val="2"/>
        <charset val="134"/>
      </rPr>
      <t>，</t>
    </r>
    <r>
      <rPr>
        <sz val="10"/>
        <rFont val="Arial"/>
        <family val="2"/>
      </rPr>
      <t>set the Vbus_max to 900V (software over voltage in 800V platform);</t>
    </r>
    <phoneticPr fontId="7" type="noConversion"/>
  </si>
  <si>
    <r>
      <t>The uodated content shows in blue colour</t>
    </r>
    <r>
      <rPr>
        <sz val="10"/>
        <rFont val="宋体"/>
        <family val="2"/>
        <charset val="134"/>
      </rPr>
      <t>：</t>
    </r>
    <r>
      <rPr>
        <sz val="10"/>
        <rFont val="Arial"/>
        <family val="2"/>
      </rPr>
      <t xml:space="preserve">
(1) Update the offset value of "INVTRA_MTRATEMP1_RTN_AI", "INVTRA_MTRATEMP2_RTN_AI", "INVTRA_MTRATEMP1_EN", and "INVTRA_MTRATEMP2_EN" in analog input table and internal enable table, because there are reserved values in older version table.</t>
    </r>
    <phoneticPr fontId="7" type="noConversion"/>
  </si>
  <si>
    <t>INVTRA_MTRATEMP1_RTN_AI</t>
    <phoneticPr fontId="7" type="noConversion"/>
  </si>
  <si>
    <t>INVTRA_MTRATEMP2_RTN_AI</t>
    <phoneticPr fontId="7" type="noConversion"/>
  </si>
  <si>
    <t>INVTRA_MTRATEMP1_EN</t>
    <phoneticPr fontId="7" type="noConversion"/>
  </si>
  <si>
    <t>Initial version, baselined from 17001093_GWM_DE30_800V_FT Locator_VB.06</t>
    <phoneticPr fontId="29" type="noConversion"/>
  </si>
  <si>
    <t>Updated the FT_Main_SW_Version_Comments table</t>
    <phoneticPr fontId="29" type="noConversion"/>
  </si>
  <si>
    <t>Updated the HWID and Variant ID tables</t>
    <phoneticPr fontId="29" type="noConversion"/>
  </si>
  <si>
    <t>Removed RESA_SIN_BIAS_AI, RESA_COS_BIAS_AI, INVTRA_MTRATEMP1_SEL, INVTRA_MTRATEMP2_SEL, INVTRA_MTRATEMP1_EN, INVTRA_MTRATEMP2_EN, INVTRA_MTRATEMP1_RTN_AI, INVTRA_MTRATEMP1_RTN_AI, and added INVTRA_FLT_RST_OC.</t>
    <phoneticPr fontId="29" type="noConversion"/>
  </si>
  <si>
    <t>The Auto output function added in the "Auto Output" tab</t>
    <phoneticPr fontId="29" type="noConversion"/>
  </si>
  <si>
    <t>UDC_time</t>
    <phoneticPr fontId="32" type="noConversion"/>
  </si>
  <si>
    <t>AF03FE00</t>
    <phoneticPr fontId="32" type="noConversion"/>
  </si>
  <si>
    <t>Reserve0</t>
    <phoneticPr fontId="32" type="noConversion"/>
  </si>
  <si>
    <t>AF03FE15</t>
    <phoneticPr fontId="32" type="noConversion"/>
  </si>
  <si>
    <t>AF03FE18</t>
    <phoneticPr fontId="32" type="noConversion"/>
  </si>
  <si>
    <t>Reserve1</t>
    <phoneticPr fontId="32" type="noConversion"/>
  </si>
  <si>
    <t>AF03FE22</t>
    <phoneticPr fontId="32" type="noConversion"/>
  </si>
  <si>
    <t>AF03FE2C</t>
    <phoneticPr fontId="32" type="noConversion"/>
  </si>
  <si>
    <t>Reserve2</t>
    <phoneticPr fontId="32" type="noConversion"/>
  </si>
  <si>
    <t>AF03FE3B</t>
    <phoneticPr fontId="32" type="noConversion"/>
  </si>
  <si>
    <t>AF03FE45</t>
    <phoneticPr fontId="32" type="noConversion"/>
  </si>
  <si>
    <t>See Note 2, Note11</t>
    <phoneticPr fontId="32" type="noConversion"/>
  </si>
  <si>
    <t>Reserve3</t>
    <phoneticPr fontId="32" type="noConversion"/>
  </si>
  <si>
    <t>AF03FE4D</t>
    <phoneticPr fontId="32" type="noConversion"/>
  </si>
  <si>
    <t>Base Model</t>
    <phoneticPr fontId="32" type="noConversion"/>
  </si>
  <si>
    <t>AF03FE55</t>
    <phoneticPr fontId="32" type="noConversion"/>
  </si>
  <si>
    <t>Reserve4</t>
    <phoneticPr fontId="32" type="noConversion"/>
  </si>
  <si>
    <t>AF03FE5D</t>
    <phoneticPr fontId="32" type="noConversion"/>
  </si>
  <si>
    <t>AF03FE68</t>
    <phoneticPr fontId="32" type="noConversion"/>
  </si>
  <si>
    <t>Reserve5</t>
    <phoneticPr fontId="29" type="noConversion"/>
  </si>
  <si>
    <t>00000000..FFFFFFFF</t>
  </si>
  <si>
    <t>security_constant_ft_delphi</t>
    <phoneticPr fontId="32" type="noConversion"/>
  </si>
  <si>
    <t>See Note 2, 11, 12</t>
    <phoneticPr fontId="32" type="noConversion"/>
  </si>
  <si>
    <t>Reserve6</t>
    <phoneticPr fontId="32" type="noConversion"/>
  </si>
  <si>
    <t>See Note 7, Note11</t>
    <phoneticPr fontId="32" type="noConversion"/>
  </si>
  <si>
    <t>Reserve7</t>
    <phoneticPr fontId="29" type="noConversion"/>
  </si>
  <si>
    <t>Reserve8</t>
    <phoneticPr fontId="29" type="noConversion"/>
  </si>
  <si>
    <t>Reserve9</t>
    <phoneticPr fontId="29" type="noConversion"/>
  </si>
  <si>
    <t>Reserve10</t>
    <phoneticPr fontId="29" type="noConversion"/>
  </si>
  <si>
    <t>Reserve11</t>
    <phoneticPr fontId="29" type="noConversion"/>
  </si>
  <si>
    <t>Reserve12</t>
    <phoneticPr fontId="29" type="noConversion"/>
  </si>
  <si>
    <t>Reserve13</t>
    <phoneticPr fontId="29" type="noConversion"/>
  </si>
  <si>
    <t>Reserve14</t>
    <phoneticPr fontId="29" type="noConversion"/>
  </si>
  <si>
    <t>XX</t>
    <phoneticPr fontId="32" type="noConversion"/>
  </si>
  <si>
    <t>Reserve15</t>
    <phoneticPr fontId="29" type="noConversion"/>
  </si>
  <si>
    <t>Reserve16</t>
    <phoneticPr fontId="29" type="noConversion"/>
  </si>
  <si>
    <t>Reserve17</t>
    <phoneticPr fontId="29" type="noConversion"/>
  </si>
  <si>
    <t>Reserve18</t>
    <phoneticPr fontId="29" type="noConversion"/>
  </si>
  <si>
    <t>Reserve19</t>
    <phoneticPr fontId="29" type="noConversion"/>
  </si>
  <si>
    <t>Reserve20</t>
    <phoneticPr fontId="29" type="noConversion"/>
  </si>
  <si>
    <t>Reserve21</t>
    <phoneticPr fontId="32" type="noConversion"/>
  </si>
  <si>
    <t>DC</t>
    <phoneticPr fontId="7" type="noConversion"/>
  </si>
  <si>
    <t>E0</t>
    <phoneticPr fontId="7" type="noConversion"/>
  </si>
  <si>
    <t>Offset_HEX</t>
    <phoneticPr fontId="7" type="noConversion"/>
  </si>
  <si>
    <t>Auto_output_PWM _flag</t>
    <phoneticPr fontId="29" type="noConversion"/>
  </si>
  <si>
    <r>
      <t>MCU PWM Port state:
 Enable  auto output PWM function(Frequency</t>
    </r>
    <r>
      <rPr>
        <sz val="10"/>
        <color rgb="FF000000"/>
        <rFont val="宋体"/>
        <family val="2"/>
        <charset val="134"/>
      </rPr>
      <t>：</t>
    </r>
    <r>
      <rPr>
        <sz val="10"/>
        <color indexed="8"/>
        <rFont val="Arial"/>
        <family val="2"/>
      </rPr>
      <t>10kHz, Duty Cycle:AU20% BU30% CU40%;AL80% BL70% CL60%</t>
    </r>
    <r>
      <rPr>
        <sz val="10"/>
        <color rgb="FF000000"/>
        <rFont val="宋体"/>
        <family val="2"/>
        <charset val="134"/>
      </rPr>
      <t>）</t>
    </r>
    <r>
      <rPr>
        <sz val="10"/>
        <color indexed="8"/>
        <rFont val="Arial"/>
        <family val="2"/>
      </rPr>
      <t xml:space="preserve">
                                                                                            </t>
    </r>
    <phoneticPr fontId="7" type="noConversion"/>
  </si>
  <si>
    <t>Normal Operation PWM</t>
    <phoneticPr fontId="29" type="noConversion"/>
  </si>
  <si>
    <t>Auto Output PWM</t>
    <phoneticPr fontId="29" type="noConversion"/>
  </si>
  <si>
    <t>FT_PWR_HOLD_ON</t>
    <phoneticPr fontId="29" type="noConversion"/>
  </si>
  <si>
    <t>FT_INVTRA_TRQ_SCRTY_DIS^</t>
    <phoneticPr fontId="32" type="noConversion"/>
  </si>
  <si>
    <t>FT_INVTRA_ENBIAS_HI</t>
    <phoneticPr fontId="32" type="noConversion"/>
  </si>
  <si>
    <t>FT_INVTRA_ENSW</t>
    <phoneticPr fontId="32" type="noConversion"/>
  </si>
  <si>
    <r>
      <t>Low</t>
    </r>
    <r>
      <rPr>
        <sz val="10.5"/>
        <rFont val="等线"/>
        <family val="3"/>
        <charset val="134"/>
      </rPr>
      <t xml:space="preserve"> </t>
    </r>
    <phoneticPr fontId="29" type="noConversion"/>
  </si>
  <si>
    <t>FT_L3_ASC_FW_TEST</t>
    <phoneticPr fontId="32" type="noConversion"/>
  </si>
  <si>
    <t>FT_HVDC_SENSE_TEST_EN</t>
    <phoneticPr fontId="32" type="noConversion"/>
  </si>
  <si>
    <t>FT_15VSEPIC_DIS</t>
    <phoneticPr fontId="32" type="noConversion"/>
  </si>
  <si>
    <t>ACT_DISC</t>
    <phoneticPr fontId="32" type="noConversion"/>
  </si>
  <si>
    <t>low</t>
    <phoneticPr fontId="32" type="noConversion"/>
  </si>
  <si>
    <t>INVTRA_MTRATEMP1_EN</t>
    <phoneticPr fontId="32" type="noConversion"/>
  </si>
  <si>
    <t>FT_Ph_Current_RunIn_Cmd,F0</t>
    <phoneticPr fontId="32" type="noConversion"/>
  </si>
  <si>
    <t>offset_HEX</t>
    <phoneticPr fontId="32" type="noConversion"/>
  </si>
  <si>
    <t>offset_DEC</t>
    <phoneticPr fontId="32" type="noConversion"/>
  </si>
  <si>
    <t>name</t>
    <phoneticPr fontId="32" type="noConversion"/>
  </si>
  <si>
    <t>Format</t>
    <phoneticPr fontId="32" type="noConversion"/>
  </si>
  <si>
    <t>Definition</t>
    <phoneticPr fontId="32" type="noConversion"/>
  </si>
  <si>
    <t>ft_runin_frequency</t>
    <phoneticPr fontId="32" type="noConversion"/>
  </si>
  <si>
    <t>uint16</t>
    <phoneticPr fontId="32" type="noConversion"/>
  </si>
  <si>
    <t>PWM frequency Hz</t>
    <phoneticPr fontId="32" type="noConversion"/>
  </si>
  <si>
    <t>ft_runin_max_phase_temp</t>
    <phoneticPr fontId="32" type="noConversion"/>
  </si>
  <si>
    <t>float32</t>
    <phoneticPr fontId="32" type="noConversion"/>
  </si>
  <si>
    <t>max protection temperature Deg C</t>
    <phoneticPr fontId="32" type="noConversion"/>
  </si>
  <si>
    <t>ft_activate_runin_sequence</t>
    <phoneticPr fontId="32" type="noConversion"/>
  </si>
  <si>
    <t>uint8</t>
    <phoneticPr fontId="32" type="noConversion"/>
  </si>
  <si>
    <t>uint8 0-deactivate,1-activate</t>
    <phoneticPr fontId="32" type="noConversion"/>
  </si>
  <si>
    <t>ft_runin_new_data</t>
    <phoneticPr fontId="32" type="noConversion"/>
  </si>
  <si>
    <t>Uint8 255-Update Set value and start test,0-Otherwise</t>
    <phoneticPr fontId="32" type="noConversion"/>
  </si>
  <si>
    <t>FT_Ph_Current_RunIn_Status,F4</t>
    <phoneticPr fontId="32" type="noConversion"/>
  </si>
  <si>
    <t>Variable Type</t>
    <phoneticPr fontId="32" type="noConversion"/>
  </si>
  <si>
    <t>1-byte enum representing 
runin status</t>
    <phoneticPr fontId="32" type="noConversion"/>
  </si>
  <si>
    <t>0- FT_RUNIN_IDLE</t>
    <phoneticPr fontId="32" type="noConversion"/>
  </si>
  <si>
    <t>1- FT_RUNIN_RUNNING</t>
    <phoneticPr fontId="32" type="noConversion"/>
  </si>
  <si>
    <t>2_ FT_RUNIN_SEQ_ERROR_OVERTEMP</t>
    <phoneticPr fontId="32" type="noConversion"/>
  </si>
  <si>
    <t>3_ FT_RUNIN_SEQ_ERROR_INVALID_FREQ</t>
    <phoneticPr fontId="32" type="noConversion"/>
  </si>
  <si>
    <t>Factory EOL Data</t>
  </si>
  <si>
    <t>PROCESSOR</t>
  </si>
  <si>
    <t>Variable Name  (Optional)</t>
  </si>
  <si>
    <t>Data  Properties</t>
  </si>
  <si>
    <t>Data Format</t>
  </si>
  <si>
    <t>$Final  Factory Value  or Range for  Verification</t>
  </si>
  <si>
    <t>#EOD</t>
    <phoneticPr fontId="32" type="noConversion"/>
  </si>
  <si>
    <r>
      <t>The uodated content shows in blue colour</t>
    </r>
    <r>
      <rPr>
        <sz val="10"/>
        <rFont val="宋体"/>
        <family val="2"/>
        <charset val="134"/>
      </rPr>
      <t>：</t>
    </r>
    <r>
      <rPr>
        <sz val="10"/>
        <rFont val="Arial"/>
        <family val="2"/>
      </rPr>
      <t xml:space="preserve">
(1) Update the offset value of "FT_Ph_Current_RunIn_Cmd", "FT_Ph_Current_RunIn_Status" in FT IO Table Address Table.
(2) Update the MPI sheet based on MPI file.
(3) Update the Auto output sheet based on EE feedback.
(4) Hold the Vbus_Min to 420V in Inverter Motor Control Data.</t>
    </r>
    <phoneticPr fontId="7" type="noConversion"/>
  </si>
  <si>
    <t>FT_Ph_Current_RunIn_Cmd</t>
    <phoneticPr fontId="7" type="noConversion"/>
  </si>
  <si>
    <t>FT_Ph_Current_RunIn_Status</t>
    <phoneticPr fontId="7" type="noConversion"/>
  </si>
  <si>
    <t>High</t>
    <phoneticPr fontId="29" type="noConversion"/>
  </si>
  <si>
    <t>INVTRA_MTRATEMP2_EN</t>
    <phoneticPr fontId="29" type="noConversion"/>
  </si>
  <si>
    <t>Comment</t>
    <phoneticPr fontId="32" type="noConversion"/>
  </si>
  <si>
    <t>2.02020202020202E+41</t>
    <phoneticPr fontId="32" type="noConversion"/>
  </si>
  <si>
    <t>FV</t>
    <phoneticPr fontId="32" type="noConversion"/>
  </si>
  <si>
    <t>000000</t>
  </si>
  <si>
    <t>Customer Part Number</t>
    <phoneticPr fontId="32" type="noConversion"/>
  </si>
  <si>
    <t>30303030303030303030..39393939393939393939</t>
    <phoneticPr fontId="32" type="noConversion"/>
  </si>
  <si>
    <t>00000000000000000000</t>
  </si>
  <si>
    <t>HW Assembly Part Number</t>
    <phoneticPr fontId="32" type="noConversion"/>
  </si>
  <si>
    <t>393939393939393939393939393939</t>
  </si>
  <si>
    <t>0000000000000000</t>
  </si>
  <si>
    <t>444B373135323232</t>
  </si>
  <si>
    <t>0000000000000000000000</t>
  </si>
  <si>
    <t>UPS Julian Day</t>
    <phoneticPr fontId="32" type="noConversion"/>
  </si>
  <si>
    <t>AF03FE65</t>
    <phoneticPr fontId="32" type="noConversion"/>
  </si>
  <si>
    <t>303030..393939</t>
    <phoneticPr fontId="32" type="noConversion"/>
  </si>
  <si>
    <t>UPS Calendar Year Last Digit</t>
    <phoneticPr fontId="32" type="noConversion"/>
  </si>
  <si>
    <t>3030..3939</t>
  </si>
  <si>
    <t>AF03FE6A</t>
    <phoneticPr fontId="32" type="noConversion"/>
  </si>
  <si>
    <t>30303030..39393939</t>
  </si>
  <si>
    <t>每天的第几台？</t>
    <phoneticPr fontId="32" type="noConversion"/>
  </si>
  <si>
    <t>AF03FE6E</t>
    <phoneticPr fontId="32" type="noConversion"/>
  </si>
  <si>
    <t>AF03FE72</t>
    <phoneticPr fontId="32" type="noConversion"/>
  </si>
  <si>
    <t>AF03FE76</t>
    <phoneticPr fontId="32" type="noConversion"/>
  </si>
  <si>
    <t>41</t>
    <phoneticPr fontId="32" type="noConversion"/>
  </si>
  <si>
    <t>FFFF</t>
    <phoneticPr fontId="32" type="noConversion"/>
  </si>
  <si>
    <t>See Note 10, Note11</t>
    <phoneticPr fontId="32" type="noConversion"/>
  </si>
  <si>
    <t>00000001</t>
  </si>
  <si>
    <t>00000000</t>
  </si>
  <si>
    <t>00000000..FFFFFFFF</t>
    <phoneticPr fontId="32" type="noConversion"/>
  </si>
  <si>
    <t>The information format is available in the lable format drawing</t>
    <phoneticPr fontId="32" type="noConversion"/>
  </si>
  <si>
    <t>Julian Day is coded ASCII (239th day coded 0x32 0x33 0x39)</t>
    <phoneticPr fontId="32" type="noConversion"/>
  </si>
  <si>
    <t>To be reset at beginning of each julian day</t>
    <phoneticPr fontId="32" type="noConversion"/>
  </si>
  <si>
    <t>Use the CRC32 arithmetic to calculate the data from 0xA09FC000 to 0xA09FC107.It can be read by DID in the UDS protocol.</t>
    <phoneticPr fontId="32" type="noConversion"/>
  </si>
  <si>
    <t>The switch of enable the calibration apply for FT software. Write 0xAA 0x55 the switch will enable, otherwise write 0x00 0x00.</t>
    <phoneticPr fontId="32" type="noConversion"/>
  </si>
  <si>
    <t>444B373135353334</t>
    <phoneticPr fontId="32" type="noConversion"/>
  </si>
  <si>
    <t>MPI Format Rev</t>
  </si>
  <si>
    <t>105</t>
  </si>
  <si>
    <t>ESGP_4-4_ME_02-F01_EN</t>
  </si>
  <si>
    <t>MPI File</t>
  </si>
  <si>
    <t>Revision</t>
  </si>
  <si>
    <t>CR #</t>
  </si>
  <si>
    <t>Created Date</t>
  </si>
  <si>
    <t>Created Time</t>
  </si>
  <si>
    <t>Product</t>
  </si>
  <si>
    <t>Power Electronics Flywheel 900A C sample_End model</t>
    <phoneticPr fontId="32" type="noConversion"/>
  </si>
  <si>
    <t>Total Number of MPI Files</t>
  </si>
  <si>
    <t>Delphi Model</t>
  </si>
  <si>
    <t>Label Drawing #</t>
  </si>
  <si>
    <t>CheckValue Table</t>
  </si>
  <si>
    <t>File Name</t>
  </si>
  <si>
    <t>Data Properties</t>
  </si>
  <si>
    <t>N/A</t>
  </si>
  <si>
    <t>$Check Value</t>
  </si>
  <si>
    <t>Method</t>
  </si>
  <si>
    <t>DK715539</t>
    <phoneticPr fontId="32" type="noConversion"/>
  </si>
  <si>
    <t>DATA SW-MF,EA0737AA</t>
    <phoneticPr fontId="32" type="noConversion"/>
  </si>
  <si>
    <t>FF DF CC</t>
  </si>
  <si>
    <t>80000000</t>
  </si>
  <si>
    <t>510800</t>
  </si>
  <si>
    <t>DA93FA0D</t>
  </si>
  <si>
    <t>CRC</t>
  </si>
  <si>
    <t>PROCESSOR</t>
    <phoneticPr fontId="32" type="noConversion"/>
  </si>
  <si>
    <t>10000</t>
  </si>
  <si>
    <t>430569E7</t>
  </si>
  <si>
    <t>80100000</t>
  </si>
  <si>
    <t>500000</t>
  </si>
  <si>
    <t>D0FE4860</t>
  </si>
  <si>
    <t>AF400000</t>
  </si>
  <si>
    <t>800</t>
  </si>
  <si>
    <t>1EA22D2F</t>
  </si>
  <si>
    <t>#EOD</t>
  </si>
  <si>
    <t>AF4007FF</t>
    <phoneticPr fontId="32" type="noConversion"/>
  </si>
  <si>
    <t>boot</t>
  </si>
  <si>
    <t>Section 1</t>
  </si>
  <si>
    <t>FF</t>
  </si>
  <si>
    <t>APP</t>
    <phoneticPr fontId="32" type="noConversion"/>
  </si>
  <si>
    <t>Section 2</t>
  </si>
  <si>
    <t>UCB</t>
    <phoneticPr fontId="32" type="noConversion"/>
  </si>
  <si>
    <t>Section 3</t>
  </si>
  <si>
    <t>AF400000</t>
    <phoneticPr fontId="32" type="noConversion"/>
  </si>
  <si>
    <t>AF03FF22</t>
    <phoneticPr fontId="32" type="noConversion"/>
  </si>
  <si>
    <t>MFG_Cal_INVTR_Phase_A_Current_offset</t>
    <phoneticPr fontId="29" type="noConversion"/>
  </si>
  <si>
    <t>Reserved</t>
    <phoneticPr fontId="32" type="noConversion"/>
  </si>
  <si>
    <t>MFG_Cal_INVTR_Phase_B_Current_offset</t>
    <phoneticPr fontId="29" type="noConversion"/>
  </si>
  <si>
    <t>MFG_Cal_INVTR_Phase_C_Current_offset</t>
    <phoneticPr fontId="29" type="noConversion"/>
  </si>
  <si>
    <t>MFG_Cal_HV_Gain_L</t>
  </si>
  <si>
    <t>MFG_Cal_HV_offset_L</t>
  </si>
  <si>
    <t>MFG_Cal_HV_Gain_H</t>
  </si>
  <si>
    <t>MFG_Cal_HV_offset_H</t>
  </si>
  <si>
    <t>MFG_Cal_INVTR_COOLANT_IN_TEMP_offset</t>
    <phoneticPr fontId="29" type="noConversion"/>
  </si>
  <si>
    <t>MFG_Cal_INVTR_COOLANT_OUT_TEMP_offset</t>
    <phoneticPr fontId="29" type="noConversion"/>
  </si>
  <si>
    <t xml:space="preserve"> MFG_Cal_INVTR_MOT1_PHA_CURR_Gain;</t>
    <phoneticPr fontId="29" type="noConversion"/>
  </si>
  <si>
    <t xml:space="preserve"> MFG_Cal_INVTR_MOT1_PHA_CURR_offset;</t>
    <phoneticPr fontId="29" type="noConversion"/>
  </si>
  <si>
    <t xml:space="preserve"> MFG_Cal_INVTR_MOT1_PHB_CURR_Gain;</t>
    <phoneticPr fontId="29" type="noConversion"/>
  </si>
  <si>
    <t>MFG_Cal_INVTR_MOT1_PHB_CURR_offset;</t>
    <phoneticPr fontId="29" type="noConversion"/>
  </si>
  <si>
    <t xml:space="preserve"> MFG_Cal_INVTR_MOT1_PHC_CURR_Gain;</t>
    <phoneticPr fontId="29" type="noConversion"/>
  </si>
  <si>
    <t>MFG_Cal_INVTR_MOT1_PHC_CURR_offset;</t>
    <phoneticPr fontId="29" type="noConversion"/>
  </si>
  <si>
    <r>
      <t xml:space="preserve">
(1) Update the MPI sheet based on MPI file</t>
    </r>
    <r>
      <rPr>
        <sz val="10"/>
        <rFont val="黑体"/>
        <family val="3"/>
        <charset val="134"/>
      </rPr>
      <t>（20240813）.</t>
    </r>
    <phoneticPr fontId="7" type="noConversion"/>
  </si>
  <si>
    <t>SW_C104</t>
    <phoneticPr fontId="29" type="noConversion"/>
  </si>
  <si>
    <t>$Address (Hex)</t>
    <phoneticPr fontId="29" type="noConversion"/>
  </si>
  <si>
    <t>AF03FE81</t>
  </si>
  <si>
    <t>AF03FE82</t>
  </si>
  <si>
    <t>AF03FE84</t>
  </si>
  <si>
    <t>AF03FE88</t>
  </si>
  <si>
    <t>AF03FE8C</t>
  </si>
  <si>
    <t>AF03FE90</t>
  </si>
  <si>
    <t>AF03FE94</t>
  </si>
  <si>
    <t>AF03FE98</t>
  </si>
  <si>
    <t>AF03FE9C</t>
  </si>
  <si>
    <t>AF03FEA0</t>
  </si>
  <si>
    <t>AF03FEA4</t>
  </si>
  <si>
    <t>AF03FEA8</t>
  </si>
  <si>
    <t>AF03FEAC</t>
  </si>
  <si>
    <t>AF03FEB0</t>
  </si>
  <si>
    <t>AF03FEB4</t>
  </si>
  <si>
    <t>AF03FEB8</t>
  </si>
  <si>
    <t>AF03FEBC</t>
  </si>
  <si>
    <t>AF03FEC0</t>
  </si>
  <si>
    <t>AF03FEC4</t>
  </si>
  <si>
    <t>AF03FEC8</t>
  </si>
  <si>
    <t>AF03FECC</t>
  </si>
  <si>
    <t>AF03FED0</t>
  </si>
  <si>
    <t>AF03FED4</t>
  </si>
  <si>
    <t>AF03FED8</t>
  </si>
  <si>
    <t>AF03FEDC</t>
  </si>
  <si>
    <t>AF03FEE0</t>
  </si>
  <si>
    <t>AF03FEE4</t>
  </si>
  <si>
    <t>AF03FEE8</t>
  </si>
  <si>
    <t>AF03FEEC</t>
  </si>
  <si>
    <t>AF03FEF0</t>
  </si>
  <si>
    <t>AF03FEF4</t>
  </si>
  <si>
    <t>AF03FEF8</t>
  </si>
  <si>
    <t>AF03FEFC</t>
  </si>
  <si>
    <t>AF03FF00</t>
  </si>
  <si>
    <t>AF03FF04</t>
  </si>
  <si>
    <t>AF03FF08</t>
  </si>
  <si>
    <t>AF03FF0C</t>
  </si>
  <si>
    <t>AF03FF10</t>
  </si>
  <si>
    <t>AF03FF14</t>
  </si>
  <si>
    <t>AF03FF18</t>
  </si>
  <si>
    <t>AF03FF1C</t>
  </si>
  <si>
    <t>AF03FF20</t>
  </si>
  <si>
    <t>B</t>
    <phoneticPr fontId="32" type="noConversion"/>
  </si>
  <si>
    <r>
      <t xml:space="preserve">dtc_UV_Lower_Flt                           = bit 0
dtc_Master_Flt_Set                        = bit 1
dtc_Motor_Over_Speed_Flt          = bit 2
</t>
    </r>
    <r>
      <rPr>
        <b/>
        <sz val="10"/>
        <color rgb="FF00B050"/>
        <rFont val="Arial"/>
        <family val="2"/>
      </rPr>
      <t>dtc_Motor_2_Temp_flt                   = bit3</t>
    </r>
    <r>
      <rPr>
        <b/>
        <sz val="10"/>
        <rFont val="Arial"/>
        <family val="2"/>
      </rPr>
      <t xml:space="preserve">
bit4~bit7   unused</t>
    </r>
    <phoneticPr fontId="7" type="noConversion"/>
  </si>
  <si>
    <r>
      <rPr>
        <b/>
        <sz val="10"/>
        <color rgb="FF000000"/>
        <rFont val="Arial"/>
        <family val="2"/>
      </rPr>
      <t>Reset_Motor_Faults</t>
    </r>
    <r>
      <rPr>
        <sz val="10"/>
        <color indexed="8"/>
        <rFont val="Arial"/>
        <family val="2"/>
      </rPr>
      <t xml:space="preserve"> (set to 1, reset motor faults)</t>
    </r>
    <phoneticPr fontId="7" type="noConversion"/>
  </si>
  <si>
    <r>
      <t xml:space="preserve">
(1) Update the MPI sheet (Address/Bytes/ Elements)based on MPI file</t>
    </r>
    <r>
      <rPr>
        <sz val="10"/>
        <rFont val="黑体"/>
        <family val="3"/>
        <charset val="134"/>
      </rPr>
      <t>（JIRA：ASF-1388）.</t>
    </r>
    <r>
      <rPr>
        <sz val="10"/>
        <rFont val="Arial"/>
        <family val="2"/>
      </rPr>
      <t xml:space="preserve">
(2)Update the Motor Status Data sheet (add  dtc_Motor_2_Temp_flt )</t>
    </r>
    <phoneticPr fontId="7" type="noConversion"/>
  </si>
  <si>
    <t>PwrMod_Temp_Max</t>
    <phoneticPr fontId="7" type="noConversion"/>
  </si>
  <si>
    <r>
      <t>(1) Update the Motor Control Limits :
PwrMod_Temp_Max  110</t>
    </r>
    <r>
      <rPr>
        <sz val="10"/>
        <rFont val="Segoe UI Symbol"/>
        <family val="2"/>
      </rPr>
      <t>℃</t>
    </r>
    <r>
      <rPr>
        <sz val="10"/>
        <rFont val="Arial"/>
        <family val="2"/>
      </rPr>
      <t>-&gt;</t>
    </r>
    <r>
      <rPr>
        <b/>
        <sz val="10"/>
        <rFont val="Arial"/>
        <family val="2"/>
      </rPr>
      <t>160</t>
    </r>
    <r>
      <rPr>
        <b/>
        <sz val="10"/>
        <rFont val="Segoe UI Symbol"/>
        <family val="2"/>
      </rPr>
      <t>℃</t>
    </r>
    <r>
      <rPr>
        <sz val="10"/>
        <rFont val="Arial"/>
        <family val="2"/>
      </rPr>
      <t xml:space="preserve">
Motor_Temp_Max   160</t>
    </r>
    <r>
      <rPr>
        <sz val="10"/>
        <rFont val="Segoe UI Symbol"/>
        <family val="2"/>
      </rPr>
      <t>℃</t>
    </r>
    <r>
      <rPr>
        <sz val="10"/>
        <rFont val="Arial"/>
        <family val="2"/>
      </rPr>
      <t>-&gt;</t>
    </r>
    <r>
      <rPr>
        <b/>
        <sz val="10"/>
        <rFont val="Arial"/>
        <family val="2"/>
      </rPr>
      <t>150</t>
    </r>
    <r>
      <rPr>
        <b/>
        <sz val="10"/>
        <rFont val="Segoe UI Symbol"/>
        <family val="2"/>
      </rPr>
      <t>℃</t>
    </r>
    <r>
      <rPr>
        <sz val="10"/>
        <rFont val="Arial"/>
        <family val="2"/>
      </rPr>
      <t xml:space="preserve">
Max_Phase_Current  1216A-&gt; </t>
    </r>
    <r>
      <rPr>
        <b/>
        <sz val="10"/>
        <rFont val="Arial"/>
        <family val="2"/>
      </rPr>
      <t>1143A</t>
    </r>
    <r>
      <rPr>
        <sz val="10"/>
        <rFont val="Arial"/>
        <family val="2"/>
      </rPr>
      <t xml:space="preserve">
 Vbus_Min  420V-&gt;</t>
    </r>
    <r>
      <rPr>
        <b/>
        <sz val="10"/>
        <rFont val="Arial"/>
        <family val="2"/>
      </rPr>
      <t>400V</t>
    </r>
    <phoneticPr fontId="7" type="noConversion"/>
  </si>
  <si>
    <r>
      <t xml:space="preserve"> -40</t>
    </r>
    <r>
      <rPr>
        <sz val="10"/>
        <rFont val="Segoe UI Symbol"/>
        <family val="1"/>
      </rPr>
      <t>℃</t>
    </r>
    <phoneticPr fontId="7" type="noConversion"/>
  </si>
  <si>
    <r>
      <t xml:space="preserve"> 105</t>
    </r>
    <r>
      <rPr>
        <sz val="10"/>
        <rFont val="Segoe UI Symbol"/>
        <family val="1"/>
      </rPr>
      <t>℃</t>
    </r>
    <phoneticPr fontId="7" type="noConversion"/>
  </si>
  <si>
    <t>SWOC</t>
    <phoneticPr fontId="7" type="noConversion"/>
  </si>
  <si>
    <t>UV</t>
    <phoneticPr fontId="7" type="noConversion"/>
  </si>
  <si>
    <t>SWOV</t>
    <phoneticPr fontId="7" type="noConversion"/>
  </si>
  <si>
    <r>
      <rPr>
        <sz val="10"/>
        <rFont val="宋体"/>
        <family val="3"/>
        <charset val="134"/>
      </rPr>
      <t>参考项目</t>
    </r>
    <r>
      <rPr>
        <sz val="10"/>
        <rFont val="Arial"/>
        <family val="2"/>
      </rPr>
      <t>FM</t>
    </r>
    <r>
      <rPr>
        <sz val="10"/>
        <rFont val="宋体"/>
        <family val="3"/>
        <charset val="134"/>
      </rPr>
      <t xml:space="preserve">阈值更新
</t>
    </r>
    <r>
      <rPr>
        <sz val="10"/>
        <rFont val="Arial"/>
        <family val="3"/>
      </rPr>
      <t>SWOC=1143A
SWOV=900V
UV=400V
INVTR_OVER_TEMP=160</t>
    </r>
    <r>
      <rPr>
        <sz val="10"/>
        <rFont val="Segoe UI Symbol"/>
        <family val="3"/>
      </rPr>
      <t>℃</t>
    </r>
    <r>
      <rPr>
        <sz val="10"/>
        <rFont val="Arial"/>
        <family val="3"/>
      </rPr>
      <t xml:space="preserve">
Motor_Over_Temp=150</t>
    </r>
    <r>
      <rPr>
        <sz val="10"/>
        <rFont val="Segoe UI Symbol"/>
        <family val="3"/>
      </rPr>
      <t>℃</t>
    </r>
    <r>
      <rPr>
        <sz val="10"/>
        <rFont val="宋体"/>
        <family val="3"/>
        <charset val="134"/>
      </rPr>
      <t xml:space="preserve">
</t>
    </r>
    <r>
      <rPr>
        <sz val="10"/>
        <rFont val="Arial"/>
        <family val="3"/>
        <charset val="134"/>
      </rPr>
      <t xml:space="preserve">
SW_C105</t>
    </r>
    <phoneticPr fontId="29" type="noConversion"/>
  </si>
  <si>
    <t>Vbus_Max</t>
    <phoneticPr fontId="7" type="noConversion"/>
  </si>
  <si>
    <t xml:space="preserve">SWOV: 900V-&gt;960V
SWOC:1143Apk-&gt;1322Apk
</t>
    <phoneticPr fontId="29" type="noConversion"/>
  </si>
  <si>
    <r>
      <t>160</t>
    </r>
    <r>
      <rPr>
        <sz val="10"/>
        <rFont val="Segoe UI Symbol"/>
        <family val="2"/>
      </rPr>
      <t>℃</t>
    </r>
    <phoneticPr fontId="7" type="noConversion"/>
  </si>
  <si>
    <t>400V</t>
    <phoneticPr fontId="7" type="noConversion"/>
  </si>
  <si>
    <r>
      <rPr>
        <b/>
        <sz val="10"/>
        <rFont val="Segoe UI Symbol"/>
        <family val="2"/>
      </rPr>
      <t>150</t>
    </r>
    <r>
      <rPr>
        <b/>
        <sz val="10"/>
        <rFont val="Segoe UI Symbol"/>
        <family val="1"/>
      </rPr>
      <t>℃</t>
    </r>
    <phoneticPr fontId="7" type="noConversion"/>
  </si>
  <si>
    <r>
      <rPr>
        <strike/>
        <sz val="10"/>
        <rFont val="Arial"/>
        <family val="2"/>
      </rPr>
      <t xml:space="preserve">900V
</t>
    </r>
    <r>
      <rPr>
        <b/>
        <sz val="10"/>
        <color rgb="FFFF0000"/>
        <rFont val="Arial"/>
        <family val="2"/>
      </rPr>
      <t>960V</t>
    </r>
    <phoneticPr fontId="7" type="noConversion"/>
  </si>
  <si>
    <r>
      <t>1143Apk</t>
    </r>
    <r>
      <rPr>
        <b/>
        <strike/>
        <sz val="10"/>
        <color rgb="FFFF0000"/>
        <rFont val="Arial"/>
        <family val="2"/>
      </rPr>
      <t xml:space="preserve">
</t>
    </r>
    <r>
      <rPr>
        <b/>
        <sz val="10"/>
        <color rgb="FFFF0000"/>
        <rFont val="Arial"/>
        <family val="2"/>
      </rPr>
      <t>1322Apk</t>
    </r>
    <phoneticPr fontId="7" type="noConversion"/>
  </si>
  <si>
    <r>
      <t>(1) Update the Motor Control Limits (C0 VAVE):
Max_Phase_Current  1143Apk-&gt;</t>
    </r>
    <r>
      <rPr>
        <b/>
        <sz val="10"/>
        <rFont val="Arial"/>
        <family val="2"/>
      </rPr>
      <t>1322Apk</t>
    </r>
    <r>
      <rPr>
        <sz val="10"/>
        <rFont val="Arial"/>
        <family val="2"/>
      </rPr>
      <t xml:space="preserve">
Vbus_Max  900V-&gt;</t>
    </r>
    <r>
      <rPr>
        <b/>
        <sz val="10"/>
        <rFont val="Arial"/>
        <family val="2"/>
      </rPr>
      <t>960V</t>
    </r>
    <phoneticPr fontId="7" type="noConversion"/>
  </si>
  <si>
    <r>
      <t>Auto_Output_PWM_Mode, D8</t>
    </r>
    <r>
      <rPr>
        <b/>
        <sz val="10"/>
        <color rgb="FFFF0000"/>
        <rFont val="Arial"/>
        <family val="2"/>
      </rPr>
      <t>(For EE board-level verification only)</t>
    </r>
    <phoneticPr fontId="7" type="noConversion"/>
  </si>
  <si>
    <t xml:space="preserve">FT_Discrete_Inputs  </t>
    <phoneticPr fontId="7" type="noConversion"/>
  </si>
  <si>
    <t xml:space="preserve">For this program, the Main Micro will be using Vehicle CAN (CAN A)for communication and will use the message IDs 0x7ee and 0x7ef.  </t>
    <phoneticPr fontId="31" type="noConversion"/>
  </si>
  <si>
    <t>The 0x7ee message is a request message sent to the microcontroller by the user.  The format for this message is:</t>
    <phoneticPr fontId="31" type="noConversion"/>
  </si>
  <si>
    <t xml:space="preserve">      0x07 ee aa aa aa aa ss ss du ex </t>
    <phoneticPr fontId="31" type="noConversion"/>
  </si>
  <si>
    <t xml:space="preserve">      where the 4 bytes labeled "aa aa aa aa" represent the address being accessed, the 2 bytes labeled "ss ss" represent the                                    size  of the data, the by labeled "du" indicates whether data is being downloaded to the microcontroller (= 00) or uploaded                              from the controller (= FF) and the byte labeled  "ex"  would be set to FF if the user wants the code to jump to the address                                 represented by aaaaaaaa and execute the function or set to 0 otherwise.                                                                     .                                                                                                    </t>
    <phoneticPr fontId="31" type="noConversion"/>
  </si>
  <si>
    <t>The 0x7ef message is a data message containing the data being uploaded or downloaded.  It is limited to 8 data bytes and if more than 8 bytes is being transerred then multiple data messages will be sent after the command message.</t>
    <phoneticPr fontId="31" type="noConversion"/>
  </si>
  <si>
    <t>The first message being sent is called the magic address message.  It contains the value 0xFFFA55A9 in the place of the address and requested 4 bytes to be uploaded.</t>
    <phoneticPr fontId="31" type="noConversion"/>
  </si>
  <si>
    <t>The message returned from the microcontroller will be the start address for the CAN table which contains the addresses for all the arrays, structures and variables accessible through factory test.  For this example we assume that the CAN table is located as ROM address 0x00060a0c</t>
    <phoneticPr fontId="31" type="noConversion"/>
  </si>
  <si>
    <t>From this address, the address of each array (or structure or variable) can be requested by adding the offset from the table on the first worksheet titled FT IO Table Address Table for the particular data element you are interested in accessing to the CAN table start address and then requesting 4 bytes from that address.</t>
    <phoneticPr fontId="31" type="noConversion"/>
  </si>
  <si>
    <t xml:space="preserve">         07 ee ff fa 55 a9 00 04 ff 00</t>
    <phoneticPr fontId="31" type="noConversion"/>
  </si>
  <si>
    <t>FT_Hardware_Version</t>
    <phoneticPr fontId="7" type="noConversion"/>
  </si>
  <si>
    <t>FT_Variant_Type</t>
    <phoneticPr fontId="7" type="noConversion"/>
  </si>
  <si>
    <t>FT_Main_SW_Version</t>
    <phoneticPr fontId="7" type="noConversion"/>
  </si>
  <si>
    <t>FT_Resolver Data</t>
    <phoneticPr fontId="7" type="noConversion"/>
  </si>
  <si>
    <t>velocity</t>
    <phoneticPr fontId="7" type="noConversion"/>
  </si>
  <si>
    <t xml:space="preserve">FT_Analog_Inputs    </t>
    <phoneticPr fontId="7" type="noConversion"/>
  </si>
  <si>
    <t>INVTRA_MTRATEMP2_AI</t>
    <phoneticPr fontId="7" type="noConversion"/>
  </si>
  <si>
    <t>INVTRA_MTRTEMP1_AI</t>
    <phoneticPr fontId="7" type="noConversion"/>
  </si>
  <si>
    <t>INVTRA_HVDC_SENSE2_AI</t>
    <phoneticPr fontId="7" type="noConversion"/>
  </si>
  <si>
    <t>HVDC_OV_FLT^</t>
    <phoneticPr fontId="7" type="noConversion"/>
  </si>
  <si>
    <t>OV_FLT^</t>
    <phoneticPr fontId="7" type="noConversion"/>
  </si>
  <si>
    <t>FT_Motor_Control_Data</t>
    <phoneticPr fontId="7" type="noConversion"/>
  </si>
  <si>
    <r>
      <t xml:space="preserve">Iqs End </t>
    </r>
    <r>
      <rPr>
        <sz val="10"/>
        <color indexed="8"/>
        <rFont val="Arial"/>
        <family val="2"/>
      </rPr>
      <t>(peak Amps, float)</t>
    </r>
    <r>
      <rPr>
        <b/>
        <sz val="10"/>
        <color indexed="8"/>
        <rFont val="Arial"/>
        <family val="2"/>
      </rPr>
      <t>max</t>
    </r>
    <r>
      <rPr>
        <sz val="10"/>
        <color rgb="FFFF0000"/>
        <rFont val="Arial"/>
        <family val="2"/>
      </rPr>
      <t>(</t>
    </r>
    <r>
      <rPr>
        <sz val="10"/>
        <color rgb="FFFF0000"/>
        <rFont val="宋体"/>
        <family val="2"/>
        <charset val="134"/>
      </rPr>
      <t>输出电流最大值=有效值*1.414</t>
    </r>
    <r>
      <rPr>
        <sz val="10"/>
        <color rgb="FFFF0000"/>
        <rFont val="Arial"/>
        <family val="2"/>
      </rPr>
      <t>)</t>
    </r>
    <phoneticPr fontId="7" type="noConversion"/>
  </si>
  <si>
    <r>
      <t xml:space="preserve">Iqs Step Size </t>
    </r>
    <r>
      <rPr>
        <sz val="10"/>
        <color indexed="8"/>
        <rFont val="Arial"/>
        <family val="2"/>
      </rPr>
      <t>(peak Amps, float)</t>
    </r>
    <r>
      <rPr>
        <sz val="10"/>
        <color rgb="FFFF0000"/>
        <rFont val="宋体"/>
        <family val="3"/>
        <charset val="134"/>
      </rPr>
      <t>（推荐</t>
    </r>
    <r>
      <rPr>
        <sz val="10"/>
        <color rgb="FFFF0000"/>
        <rFont val="Arial"/>
        <family val="3"/>
      </rPr>
      <t>20</t>
    </r>
    <r>
      <rPr>
        <sz val="10"/>
        <color rgb="FFFF0000"/>
        <rFont val="宋体"/>
        <family val="3"/>
        <charset val="134"/>
      </rPr>
      <t>，步长）</t>
    </r>
    <phoneticPr fontId="7" type="noConversion"/>
  </si>
  <si>
    <r>
      <t xml:space="preserve">Max Value Hold Time </t>
    </r>
    <r>
      <rPr>
        <sz val="10"/>
        <color indexed="8"/>
        <rFont val="Arial"/>
        <family val="2"/>
      </rPr>
      <t>(Sec)(float)</t>
    </r>
    <r>
      <rPr>
        <sz val="10"/>
        <color rgb="FFFF0000"/>
        <rFont val="宋体"/>
        <family val="3"/>
        <charset val="134"/>
      </rPr>
      <t>（持续时间）</t>
    </r>
    <phoneticPr fontId="7" type="noConversion"/>
  </si>
  <si>
    <r>
      <t xml:space="preserve">Output Frequency </t>
    </r>
    <r>
      <rPr>
        <sz val="10"/>
        <color indexed="8"/>
        <rFont val="Arial"/>
        <family val="2"/>
      </rPr>
      <t xml:space="preserve">(Hz, float) </t>
    </r>
    <r>
      <rPr>
        <sz val="10"/>
        <color rgb="FFFF0000"/>
        <rFont val="宋体"/>
        <family val="3"/>
        <charset val="134"/>
      </rPr>
      <t>（输出频率）</t>
    </r>
    <phoneticPr fontId="7" type="noConversion"/>
  </si>
  <si>
    <r>
      <t>Motor Control Test Mode</t>
    </r>
    <r>
      <rPr>
        <sz val="10"/>
        <color indexed="8"/>
        <rFont val="Arial"/>
        <family val="2"/>
      </rPr>
      <t xml:space="preserve"> NOTE 1</t>
    </r>
    <r>
      <rPr>
        <b/>
        <sz val="10"/>
        <color indexed="8"/>
        <rFont val="Arial"/>
        <family val="2"/>
      </rPr>
      <t xml:space="preserve">   </t>
    </r>
    <r>
      <rPr>
        <sz val="10"/>
        <color rgb="FFFF0000"/>
        <rFont val="Arial"/>
        <family val="2"/>
      </rPr>
      <t xml:space="preserve"> 4</t>
    </r>
    <r>
      <rPr>
        <sz val="10"/>
        <color rgb="FFFF0000"/>
        <rFont val="宋体"/>
        <family val="2"/>
        <charset val="134"/>
      </rPr>
      <t>（闭环模式）</t>
    </r>
    <phoneticPr fontId="7" type="noConversion"/>
  </si>
  <si>
    <r>
      <t xml:space="preserve">Motor Base Freq </t>
    </r>
    <r>
      <rPr>
        <sz val="10"/>
        <color indexed="8"/>
        <rFont val="Arial"/>
        <family val="2"/>
      </rPr>
      <t>(uint16 in Hz)  NOTE 2</t>
    </r>
    <r>
      <rPr>
        <sz val="10"/>
        <color rgb="FFFF0000"/>
        <rFont val="宋体"/>
        <family val="2"/>
        <charset val="134"/>
      </rPr>
      <t>（</t>
    </r>
    <r>
      <rPr>
        <sz val="10"/>
        <color rgb="FFFF0000"/>
        <rFont val="Arial"/>
        <family val="2"/>
      </rPr>
      <t xml:space="preserve">10000 </t>
    </r>
    <r>
      <rPr>
        <sz val="10"/>
        <color rgb="FFFF0000"/>
        <rFont val="宋体"/>
        <family val="2"/>
        <charset val="134"/>
      </rPr>
      <t>，开关频率）</t>
    </r>
    <phoneticPr fontId="7" type="noConversion"/>
  </si>
  <si>
    <r>
      <t xml:space="preserve">On/Off Ramp Time </t>
    </r>
    <r>
      <rPr>
        <sz val="10"/>
        <color indexed="8"/>
        <rFont val="Arial"/>
        <family val="2"/>
      </rPr>
      <t>(uint16 in mS)</t>
    </r>
    <r>
      <rPr>
        <sz val="10"/>
        <color rgb="FFFF0000"/>
        <rFont val="宋体"/>
        <family val="3"/>
        <charset val="134"/>
      </rPr>
      <t>（</t>
    </r>
    <r>
      <rPr>
        <sz val="10"/>
        <color rgb="FFFF0000"/>
        <rFont val="Arial"/>
        <family val="3"/>
      </rPr>
      <t xml:space="preserve">50 </t>
    </r>
    <r>
      <rPr>
        <sz val="10"/>
        <color rgb="FFFF0000"/>
        <rFont val="宋体"/>
        <family val="3"/>
        <charset val="134"/>
      </rPr>
      <t>，时间周期）</t>
    </r>
    <phoneticPr fontId="7" type="noConversion"/>
  </si>
  <si>
    <r>
      <t>MCP Motor Gate Enable</t>
    </r>
    <r>
      <rPr>
        <sz val="10"/>
        <color indexed="8"/>
        <rFont val="Arial"/>
        <family val="2"/>
      </rPr>
      <t xml:space="preserve"> (should be set to 1 to enable, 0 to disable)</t>
    </r>
    <r>
      <rPr>
        <sz val="10"/>
        <color rgb="FFFF0000"/>
        <rFont val="宋体"/>
        <family val="2"/>
        <charset val="134"/>
      </rPr>
      <t>（</t>
    </r>
    <r>
      <rPr>
        <sz val="10"/>
        <color rgb="FFFF0000"/>
        <rFont val="Arial"/>
        <family val="2"/>
      </rPr>
      <t>1</t>
    </r>
    <r>
      <rPr>
        <sz val="10"/>
        <color rgb="FFFF0000"/>
        <rFont val="宋体"/>
        <family val="2"/>
        <charset val="134"/>
      </rPr>
      <t>，开管）</t>
    </r>
    <phoneticPr fontId="7" type="noConversion"/>
  </si>
  <si>
    <r>
      <t xml:space="preserve">New Data Flag </t>
    </r>
    <r>
      <rPr>
        <sz val="10"/>
        <color indexed="8"/>
        <rFont val="Arial"/>
        <family val="2"/>
      </rPr>
      <t>(must be set to 0xff to indicate new data has been downloaded, cleared by the product</t>
    </r>
    <r>
      <rPr>
        <sz val="10"/>
        <color rgb="FF000000"/>
        <rFont val="宋体"/>
        <family val="2"/>
        <charset val="134"/>
      </rPr>
      <t>）</t>
    </r>
    <r>
      <rPr>
        <sz val="10"/>
        <color rgb="FFFF0000"/>
        <rFont val="宋体"/>
        <family val="3"/>
        <charset val="134"/>
      </rPr>
      <t>（</t>
    </r>
    <r>
      <rPr>
        <sz val="10"/>
        <color rgb="FFFF0000"/>
        <rFont val="Arial"/>
        <family val="3"/>
      </rPr>
      <t>1</t>
    </r>
    <r>
      <rPr>
        <sz val="10"/>
        <color rgb="FFFF0000"/>
        <rFont val="宋体"/>
        <family val="3"/>
        <charset val="134"/>
      </rPr>
      <t>，使能）</t>
    </r>
    <phoneticPr fontId="7" type="noConversion"/>
  </si>
  <si>
    <t>FT_Motor_Status_Data</t>
    <phoneticPr fontId="7" type="noConversion"/>
  </si>
  <si>
    <r>
      <rPr>
        <sz val="10"/>
        <color rgb="FFFF0000"/>
        <rFont val="宋体"/>
        <family val="2"/>
        <charset val="134"/>
      </rPr>
      <t>（正常出扭，上传</t>
    </r>
    <r>
      <rPr>
        <sz val="10"/>
        <color rgb="FFFF0000"/>
        <rFont val="Arial"/>
        <family val="2"/>
      </rPr>
      <t>2</t>
    </r>
    <r>
      <rPr>
        <sz val="10"/>
        <color rgb="FFFF0000"/>
        <rFont val="宋体"/>
        <family val="2"/>
        <charset val="134"/>
      </rPr>
      <t>）</t>
    </r>
    <phoneticPr fontId="7" type="noConversion"/>
  </si>
  <si>
    <r>
      <rPr>
        <sz val="10"/>
        <color rgb="FFFF0000"/>
        <rFont val="宋体"/>
        <family val="2"/>
        <charset val="134"/>
      </rPr>
      <t>（正常出扭，上传</t>
    </r>
    <r>
      <rPr>
        <sz val="10"/>
        <color rgb="FFFF0000"/>
        <rFont val="Arial"/>
        <family val="2"/>
      </rPr>
      <t>1</t>
    </r>
    <r>
      <rPr>
        <sz val="10"/>
        <color rgb="FFFF0000"/>
        <rFont val="宋体"/>
        <family val="2"/>
        <charset val="134"/>
      </rPr>
      <t>）</t>
    </r>
    <phoneticPr fontId="7" type="noConversion"/>
  </si>
  <si>
    <r>
      <t>PACKED FAULTS
SW
SW
SW
INVTR_PHAOCFLT^(P34.4)
INVTR_PHBOCFLT^(P11.4)
INVTR_PHCOCFLT^(P22.4)
SW
SW</t>
    </r>
    <r>
      <rPr>
        <sz val="10"/>
        <color rgb="FFFF0000"/>
        <rFont val="宋体"/>
        <family val="2"/>
        <charset val="134"/>
      </rPr>
      <t>（正常出扭，上传</t>
    </r>
    <r>
      <rPr>
        <sz val="10"/>
        <color rgb="FFFF0000"/>
        <rFont val="Arial"/>
        <family val="2"/>
      </rPr>
      <t>0</t>
    </r>
    <r>
      <rPr>
        <sz val="10"/>
        <color rgb="FFFF0000"/>
        <rFont val="宋体"/>
        <family val="2"/>
        <charset val="134"/>
      </rPr>
      <t>）</t>
    </r>
    <phoneticPr fontId="7" type="noConversion"/>
  </si>
  <si>
    <r>
      <t>HVDC_OV_FLT^(P22.7)
SW
SW
SW
SW
SW
SW
SW</t>
    </r>
    <r>
      <rPr>
        <sz val="10"/>
        <color rgb="FFFF0000"/>
        <rFont val="宋体"/>
        <family val="2"/>
        <charset val="134"/>
      </rPr>
      <t>（正常出扭，上传</t>
    </r>
    <r>
      <rPr>
        <sz val="10"/>
        <color rgb="FFFF0000"/>
        <rFont val="Arial"/>
        <family val="2"/>
      </rPr>
      <t>0</t>
    </r>
    <r>
      <rPr>
        <sz val="10"/>
        <color rgb="FFFF0000"/>
        <rFont val="宋体"/>
        <family val="2"/>
        <charset val="134"/>
      </rPr>
      <t>）</t>
    </r>
    <phoneticPr fontId="7" type="noConversion"/>
  </si>
  <si>
    <r>
      <t>SW
NVTR_DSATPHAHI^(P00.11)
INVTR_DSATPHBHI^(P10.7)
INVTR_DSATPHCHI^(P11.7)
INVTR_DSATPHALO^(P20.3)
INVTR_DSATPHBLO^(20.8)
INVTR_DSATPHCLO^(P01.6)
INVTR_UVUP^(P14.10)</t>
    </r>
    <r>
      <rPr>
        <sz val="10"/>
        <color rgb="FFFF0000"/>
        <rFont val="宋体"/>
        <family val="2"/>
        <charset val="134"/>
      </rPr>
      <t>（正常出扭，上传</t>
    </r>
    <r>
      <rPr>
        <sz val="10"/>
        <color rgb="FFFF0000"/>
        <rFont val="Arial"/>
        <family val="2"/>
      </rPr>
      <t>0</t>
    </r>
    <r>
      <rPr>
        <sz val="10"/>
        <color rgb="FFFF0000"/>
        <rFont val="宋体"/>
        <family val="2"/>
        <charset val="134"/>
      </rPr>
      <t>）</t>
    </r>
    <phoneticPr fontId="7" type="noConversion"/>
  </si>
  <si>
    <r>
      <t xml:space="preserve">INVTR_UVLO^(P11.14)
INVTR_MASTER_FLT^(P11.0)
SW
</t>
    </r>
    <r>
      <rPr>
        <b/>
        <sz val="10"/>
        <color rgb="FF00B050"/>
        <rFont val="Arial"/>
        <family val="2"/>
      </rPr>
      <t>SW</t>
    </r>
    <r>
      <rPr>
        <b/>
        <sz val="10"/>
        <rFont val="Arial"/>
        <family val="2"/>
      </rPr>
      <t xml:space="preserve">
Unused</t>
    </r>
    <r>
      <rPr>
        <sz val="10"/>
        <color rgb="FFFF0000"/>
        <rFont val="宋体"/>
        <family val="2"/>
        <charset val="134"/>
      </rPr>
      <t>（正常出扭，上传</t>
    </r>
    <r>
      <rPr>
        <sz val="10"/>
        <color rgb="FFFF0000"/>
        <rFont val="Arial"/>
        <family val="2"/>
      </rPr>
      <t>0</t>
    </r>
    <r>
      <rPr>
        <sz val="10"/>
        <color rgb="FFFF0000"/>
        <rFont val="宋体"/>
        <family val="2"/>
        <charset val="134"/>
      </rPr>
      <t>）</t>
    </r>
    <phoneticPr fontId="7" type="noConversion"/>
  </si>
  <si>
    <t>FT_Current_Sense_Test_Result_Data</t>
    <phoneticPr fontId="7" type="noConversion"/>
  </si>
  <si>
    <r>
      <t>PhaseA_Current</t>
    </r>
    <r>
      <rPr>
        <sz val="10"/>
        <color rgb="FFFF0000"/>
        <rFont val="宋体"/>
        <family val="3"/>
        <charset val="134"/>
      </rPr>
      <t>（瞬时值）</t>
    </r>
    <phoneticPr fontId="7" type="noConversion"/>
  </si>
  <si>
    <r>
      <t>PhaseB_Current</t>
    </r>
    <r>
      <rPr>
        <sz val="10"/>
        <color rgb="FFFF0000"/>
        <rFont val="宋体"/>
        <family val="3"/>
        <charset val="134"/>
      </rPr>
      <t>（瞬时值）</t>
    </r>
    <phoneticPr fontId="7" type="noConversion"/>
  </si>
  <si>
    <r>
      <t>PhaseC_Current</t>
    </r>
    <r>
      <rPr>
        <sz val="10"/>
        <color rgb="FFFF0000"/>
        <rFont val="宋体"/>
        <family val="3"/>
        <charset val="134"/>
      </rPr>
      <t>（瞬时值）</t>
    </r>
    <phoneticPr fontId="7" type="noConversion"/>
  </si>
  <si>
    <r>
      <t>PhaseA_Min_Current</t>
    </r>
    <r>
      <rPr>
        <sz val="10"/>
        <color rgb="FFFF0000"/>
        <rFont val="宋体"/>
        <family val="3"/>
        <charset val="134"/>
      </rPr>
      <t>（电流最小值）</t>
    </r>
    <phoneticPr fontId="7" type="noConversion"/>
  </si>
  <si>
    <t>PhaseB_Min_Current</t>
    <phoneticPr fontId="7" type="noConversion"/>
  </si>
  <si>
    <r>
      <t>PhaseA_Max_Current</t>
    </r>
    <r>
      <rPr>
        <sz val="10"/>
        <color rgb="FFFF0000"/>
        <rFont val="宋体"/>
        <family val="3"/>
        <charset val="134"/>
      </rPr>
      <t>（电流最大值）</t>
    </r>
    <phoneticPr fontId="7" type="noConversion"/>
  </si>
  <si>
    <t>FT_Current_Sense_Test_Cmd_Data</t>
    <phoneticPr fontId="7" type="noConversion"/>
  </si>
  <si>
    <t>Current_Min_Max_Reset_Flag</t>
    <phoneticPr fontId="7" type="noConversion"/>
  </si>
  <si>
    <t>FT_Phase_Temp_Inputs</t>
    <phoneticPr fontId="7" type="noConversion"/>
  </si>
  <si>
    <t>COOLANT_IN_TEMP_AI</t>
    <phoneticPr fontId="7" type="noConversion"/>
  </si>
  <si>
    <t>COOLANT_OUT_TEMP_AI</t>
    <phoneticPr fontId="7" type="noConversion"/>
  </si>
  <si>
    <t>table</t>
    <phoneticPr fontId="7" type="noConversion"/>
  </si>
  <si>
    <r>
      <t>MFG_Cal_Enable</t>
    </r>
    <r>
      <rPr>
        <sz val="10"/>
        <color rgb="FFFF0000"/>
        <rFont val="Arial"/>
        <family val="2"/>
      </rPr>
      <t>(75)</t>
    </r>
    <phoneticPr fontId="29" type="noConversion"/>
  </si>
  <si>
    <t>Send one message to instrument CAN, 7EE 02 02 02 02 02 02 02 02</t>
    <phoneticPr fontId="29" type="noConversion"/>
  </si>
  <si>
    <r>
      <rPr>
        <b/>
        <sz val="11"/>
        <color theme="1"/>
        <rFont val="宋体"/>
        <family val="2"/>
        <scheme val="minor"/>
      </rPr>
      <t>Instrument CAN</t>
    </r>
    <r>
      <rPr>
        <sz val="11"/>
        <color theme="1"/>
        <rFont val="宋体"/>
        <family val="2"/>
        <charset val="134"/>
        <scheme val="minor"/>
      </rPr>
      <t xml:space="preserve"> channel will response with 7EF 22 22 22 22 22 22 22 22</t>
    </r>
    <phoneticPr fontId="29" type="noConversion"/>
  </si>
  <si>
    <t>Ana In Counts Table</t>
    <phoneticPr fontId="7" type="noConversion"/>
  </si>
  <si>
    <t>Frequency Input Table</t>
    <phoneticPr fontId="7" type="noConversion"/>
  </si>
  <si>
    <t>Inverter Temperature Table</t>
    <phoneticPr fontId="7" type="noConversion"/>
  </si>
  <si>
    <t>INVTRA_PH_AU_TEMP_PI</t>
    <phoneticPr fontId="7" type="noConversion"/>
  </si>
  <si>
    <t>Motor Control Data (3 Phase Outputs)</t>
    <phoneticPr fontId="7" type="noConversion"/>
  </si>
  <si>
    <t>Board_Temp_Max</t>
    <phoneticPr fontId="7" type="noConversion"/>
  </si>
  <si>
    <t>CAN_Bus_2_test</t>
    <phoneticPr fontId="29" type="noConversion"/>
  </si>
  <si>
    <r>
      <t xml:space="preserve">Iqs Start </t>
    </r>
    <r>
      <rPr>
        <sz val="10"/>
        <color indexed="8"/>
        <rFont val="Arial"/>
        <family val="2"/>
      </rPr>
      <t>(peak Amps, float)min</t>
    </r>
    <r>
      <rPr>
        <sz val="10"/>
        <color rgb="FFFF0000"/>
        <rFont val="Arial"/>
        <family val="2"/>
      </rPr>
      <t xml:space="preserve">(0)      </t>
    </r>
    <r>
      <rPr>
        <sz val="10"/>
        <rFont val="宋体"/>
        <family val="3"/>
        <charset val="134"/>
      </rPr>
      <t>起始电流</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</si>
</sst>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9">
    <font>
      <sz val="10"/>
      <name val="Arial"/>
    </font>
    <font>
      <sz val="11"/>
      <color theme="1"/>
      <name val="宋体"/>
      <family val="2"/>
      <charset val="134"/>
      <scheme val="minor"/>
    </font>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0"/>
      <name val="Arial"/>
      <family val="2"/>
    </font>
    <font>
      <sz val="8"/>
      <name val="Arial"/>
      <family val="2"/>
    </font>
    <font>
      <sz val="11"/>
      <name val="Arial"/>
      <family val="2"/>
    </font>
    <font>
      <b/>
      <sz val="10"/>
      <name val="Arial"/>
      <family val="2"/>
    </font>
    <font>
      <b/>
      <sz val="12"/>
      <name val="Arial"/>
      <family val="2"/>
    </font>
    <font>
      <sz val="10"/>
      <name val="Arial"/>
      <family val="2"/>
    </font>
    <font>
      <sz val="10"/>
      <color indexed="53"/>
      <name val="Arial"/>
      <family val="2"/>
    </font>
    <font>
      <sz val="10"/>
      <color indexed="8"/>
      <name val="Arial"/>
      <family val="2"/>
    </font>
    <font>
      <sz val="11"/>
      <color indexed="8"/>
      <name val="Arial"/>
      <family val="2"/>
    </font>
    <font>
      <b/>
      <sz val="10"/>
      <color indexed="8"/>
      <name val="Arial"/>
      <family val="2"/>
    </font>
    <font>
      <b/>
      <sz val="8"/>
      <color indexed="8"/>
      <name val="Arial"/>
      <family val="2"/>
    </font>
    <font>
      <sz val="7"/>
      <name val="Arial"/>
      <family val="2"/>
    </font>
    <font>
      <sz val="9"/>
      <name val="Arial"/>
      <family val="2"/>
    </font>
    <font>
      <sz val="10"/>
      <color rgb="FFFF0000"/>
      <name val="Arial"/>
      <family val="2"/>
    </font>
    <font>
      <b/>
      <sz val="14"/>
      <name val="Arial"/>
      <family val="2"/>
    </font>
    <font>
      <sz val="14"/>
      <name val="Arial"/>
      <family val="2"/>
    </font>
    <font>
      <b/>
      <sz val="14"/>
      <color indexed="8"/>
      <name val="Arial"/>
      <family val="2"/>
    </font>
    <font>
      <sz val="14"/>
      <color indexed="8"/>
      <name val="Arial"/>
      <family val="2"/>
    </font>
    <font>
      <sz val="10"/>
      <color theme="1"/>
      <name val="Arial"/>
      <family val="2"/>
    </font>
    <font>
      <sz val="9"/>
      <name val="Times New Roman"/>
      <family val="1"/>
    </font>
    <font>
      <sz val="12"/>
      <name val="Arial"/>
      <family val="2"/>
    </font>
    <font>
      <sz val="12"/>
      <color indexed="8"/>
      <name val="Arial"/>
      <family val="2"/>
    </font>
    <font>
      <b/>
      <sz val="10"/>
      <color rgb="FF000000"/>
      <name val="Arial"/>
      <family val="2"/>
    </font>
    <font>
      <sz val="9"/>
      <name val="宋体"/>
      <family val="3"/>
      <charset val="134"/>
    </font>
    <font>
      <sz val="8"/>
      <color rgb="FFFF0000"/>
      <name val="Arial"/>
      <family val="2"/>
    </font>
    <font>
      <sz val="9"/>
      <name val="DengXian"/>
      <family val="3"/>
      <charset val="134"/>
    </font>
    <font>
      <sz val="9"/>
      <name val="宋体"/>
      <family val="3"/>
      <charset val="134"/>
      <scheme val="minor"/>
    </font>
    <font>
      <sz val="10"/>
      <name val="Arial"/>
      <family val="2"/>
      <charset val="134"/>
    </font>
    <font>
      <b/>
      <sz val="12"/>
      <color rgb="FFFF0000"/>
      <name val="Arial"/>
      <family val="2"/>
    </font>
    <font>
      <b/>
      <sz val="11"/>
      <name val="Arial"/>
      <family val="2"/>
    </font>
    <font>
      <sz val="10"/>
      <color rgb="FF00B0F0"/>
      <name val="Arial"/>
      <family val="2"/>
    </font>
    <font>
      <b/>
      <sz val="11"/>
      <color theme="1"/>
      <name val="宋体"/>
      <family val="2"/>
      <charset val="134"/>
      <scheme val="minor"/>
    </font>
    <font>
      <sz val="11"/>
      <color theme="1"/>
      <name val="Arial"/>
      <family val="2"/>
    </font>
    <font>
      <b/>
      <sz val="10"/>
      <color theme="1"/>
      <name val="Arial"/>
      <family val="2"/>
    </font>
    <font>
      <b/>
      <sz val="10"/>
      <color theme="1"/>
      <name val="Arial"/>
      <family val="2"/>
      <charset val="134"/>
    </font>
    <font>
      <sz val="11"/>
      <name val="Calibri"/>
      <family val="2"/>
    </font>
    <font>
      <sz val="10"/>
      <color theme="0" tint="-0.499984740745262"/>
      <name val="Arial"/>
      <family val="2"/>
    </font>
    <font>
      <sz val="11"/>
      <color theme="0" tint="-0.499984740745262"/>
      <name val="Arial"/>
      <family val="2"/>
    </font>
    <font>
      <strike/>
      <sz val="10"/>
      <name val="Arial"/>
      <family val="2"/>
    </font>
    <font>
      <strike/>
      <sz val="10"/>
      <color rgb="FFFF0000"/>
      <name val="Arial"/>
      <family val="2"/>
    </font>
    <font>
      <sz val="10"/>
      <name val="Times New Roman"/>
      <family val="1"/>
    </font>
    <font>
      <sz val="10.5"/>
      <name val="DengXian"/>
      <charset val="134"/>
    </font>
    <font>
      <sz val="11"/>
      <name val="DengXian"/>
      <charset val="134"/>
    </font>
    <font>
      <sz val="11"/>
      <name val="Microsoft YaHei"/>
      <family val="2"/>
    </font>
    <font>
      <sz val="10"/>
      <name val="SimSun"/>
      <charset val="134"/>
    </font>
    <font>
      <b/>
      <sz val="10"/>
      <name val="宋体"/>
      <family val="2"/>
      <scheme val="minor"/>
    </font>
    <font>
      <sz val="10"/>
      <color rgb="FF000000"/>
      <name val="宋体"/>
      <family val="2"/>
      <charset val="134"/>
    </font>
    <font>
      <sz val="10.5"/>
      <name val="等线"/>
      <family val="3"/>
      <charset val="134"/>
    </font>
    <font>
      <sz val="10"/>
      <color rgb="FF000000"/>
      <name val="Arial"/>
      <family val="2"/>
    </font>
    <font>
      <sz val="10"/>
      <name val="等线"/>
      <family val="3"/>
      <charset val="134"/>
    </font>
    <font>
      <sz val="10.5"/>
      <color rgb="FF241C1A"/>
      <name val="等线"/>
      <family val="3"/>
      <charset val="134"/>
    </font>
    <font>
      <sz val="10.5"/>
      <color rgb="FF000000"/>
      <name val="Arial"/>
      <family val="2"/>
    </font>
    <font>
      <b/>
      <sz val="11"/>
      <color theme="1"/>
      <name val="Arial"/>
      <family val="2"/>
    </font>
    <font>
      <b/>
      <sz val="10"/>
      <color theme="1"/>
      <name val="等线"/>
      <family val="3"/>
      <charset val="134"/>
    </font>
    <font>
      <b/>
      <sz val="10"/>
      <name val="等线"/>
      <family val="3"/>
      <charset val="134"/>
    </font>
    <font>
      <sz val="11"/>
      <color theme="1"/>
      <name val="宋体"/>
      <family val="3"/>
      <charset val="134"/>
      <scheme val="minor"/>
    </font>
    <font>
      <b/>
      <sz val="11"/>
      <color theme="1"/>
      <name val="宋体"/>
      <family val="3"/>
      <charset val="134"/>
      <scheme val="minor"/>
    </font>
    <font>
      <b/>
      <sz val="11"/>
      <color theme="1"/>
      <name val="宋体"/>
      <family val="2"/>
      <scheme val="minor"/>
    </font>
    <font>
      <sz val="11"/>
      <color theme="1"/>
      <name val="宋体"/>
      <family val="2"/>
      <charset val="134"/>
      <scheme val="minor"/>
    </font>
    <font>
      <sz val="11"/>
      <name val="ＭＳ Ｐゴシック"/>
      <family val="3"/>
      <charset val="128"/>
    </font>
    <font>
      <sz val="12"/>
      <name val="宋体"/>
      <family val="3"/>
      <charset val="134"/>
    </font>
    <font>
      <b/>
      <sz val="11"/>
      <color rgb="FF00B050"/>
      <name val="宋体"/>
      <family val="2"/>
      <scheme val="minor"/>
    </font>
    <font>
      <sz val="11"/>
      <name val="SimSun"/>
      <charset val="134"/>
    </font>
    <font>
      <sz val="10"/>
      <name val="宋体"/>
      <family val="2"/>
      <charset val="134"/>
    </font>
    <font>
      <strike/>
      <sz val="10.5"/>
      <color rgb="FFFF0000"/>
      <name val="等线 Light"/>
      <family val="3"/>
      <charset val="134"/>
    </font>
    <font>
      <strike/>
      <sz val="10"/>
      <color rgb="FFFF0000"/>
      <name val="等线 Light"/>
      <family val="3"/>
      <charset val="134"/>
    </font>
    <font>
      <sz val="11"/>
      <color rgb="FFFF0000"/>
      <name val="宋体"/>
      <family val="2"/>
      <scheme val="minor"/>
    </font>
    <font>
      <sz val="10"/>
      <name val="黑体"/>
      <family val="3"/>
      <charset val="134"/>
    </font>
    <font>
      <b/>
      <sz val="10"/>
      <color rgb="FF00B050"/>
      <name val="Arial"/>
      <family val="2"/>
    </font>
    <font>
      <sz val="10"/>
      <name val="宋体"/>
      <family val="3"/>
      <charset val="134"/>
    </font>
    <font>
      <sz val="10"/>
      <name val="Arial"/>
      <family val="3"/>
      <charset val="134"/>
    </font>
    <font>
      <sz val="10"/>
      <name val="Segoe UI Symbol"/>
      <family val="2"/>
    </font>
    <font>
      <b/>
      <sz val="10"/>
      <name val="Segoe UI Symbol"/>
      <family val="2"/>
    </font>
    <font>
      <sz val="10"/>
      <name val="Arial"/>
      <family val="3"/>
    </font>
    <font>
      <sz val="10"/>
      <name val="Segoe UI Symbol"/>
      <family val="3"/>
    </font>
    <font>
      <sz val="10"/>
      <name val="Segoe UI Symbol"/>
      <family val="1"/>
    </font>
    <font>
      <b/>
      <sz val="10"/>
      <color rgb="FFFF0000"/>
      <name val="Arial"/>
      <family val="2"/>
    </font>
    <font>
      <b/>
      <sz val="10"/>
      <name val="Segoe UI Symbol"/>
      <family val="1"/>
    </font>
    <font>
      <b/>
      <strike/>
      <sz val="10"/>
      <color rgb="FFFF0000"/>
      <name val="Arial"/>
      <family val="2"/>
    </font>
    <font>
      <sz val="10"/>
      <color rgb="FFFF0000"/>
      <name val="宋体"/>
      <family val="3"/>
      <charset val="134"/>
    </font>
    <font>
      <sz val="10"/>
      <color rgb="FFFF0000"/>
      <name val="宋体"/>
      <family val="2"/>
      <charset val="134"/>
    </font>
    <font>
      <sz val="10"/>
      <color rgb="FFFF0000"/>
      <name val="Arial"/>
      <family val="3"/>
    </font>
    <font>
      <sz val="10"/>
      <color rgb="FFFF0000"/>
      <name val="Arial"/>
      <family val="2"/>
      <charset val="13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6" tint="0.59999389629810485"/>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bottom style="thin">
        <color theme="0" tint="-0.14996795556505021"/>
      </bottom>
      <diagonal/>
    </border>
    <border>
      <left/>
      <right/>
      <top style="thin">
        <color theme="0" tint="-0.1499679555650502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0" tint="-0.14993743705557422"/>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ck">
        <color auto="1"/>
      </left>
      <right style="thick">
        <color auto="1"/>
      </right>
      <top style="thick">
        <color auto="1"/>
      </top>
      <bottom style="thick">
        <color auto="1"/>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ck">
        <color auto="1"/>
      </top>
      <bottom/>
      <diagonal/>
    </border>
    <border>
      <left/>
      <right/>
      <top/>
      <bottom style="thick">
        <color auto="1"/>
      </bottom>
      <diagonal/>
    </border>
  </borders>
  <cellStyleXfs count="18">
    <xf numFmtId="0" fontId="0" fillId="0" borderId="0"/>
    <xf numFmtId="0" fontId="11" fillId="0" borderId="0"/>
    <xf numFmtId="0" fontId="6" fillId="0" borderId="0" applyNumberFormat="0" applyFont="0" applyBorder="0" applyAlignment="0" applyProtection="0"/>
    <xf numFmtId="0" fontId="5" fillId="0" borderId="0"/>
    <xf numFmtId="0" fontId="6" fillId="0" borderId="0"/>
    <xf numFmtId="0" fontId="6" fillId="0" borderId="0"/>
    <xf numFmtId="0" fontId="4" fillId="0" borderId="0"/>
    <xf numFmtId="0" fontId="3" fillId="0" borderId="0"/>
    <xf numFmtId="0" fontId="6" fillId="0" borderId="0"/>
    <xf numFmtId="0" fontId="6" fillId="0" borderId="0"/>
    <xf numFmtId="0" fontId="6" fillId="0" borderId="0"/>
    <xf numFmtId="0" fontId="65" fillId="0" borderId="0">
      <alignment vertical="center"/>
    </xf>
    <xf numFmtId="0" fontId="65" fillId="0" borderId="0">
      <alignment vertical="center"/>
    </xf>
    <xf numFmtId="0" fontId="65" fillId="0" borderId="0"/>
    <xf numFmtId="0" fontId="6" fillId="0" borderId="0" applyNumberFormat="0" applyFont="0" applyBorder="0" applyAlignment="0" applyProtection="0"/>
    <xf numFmtId="0" fontId="66" fillId="0" borderId="0"/>
    <xf numFmtId="0" fontId="64" fillId="0" borderId="0">
      <alignment vertical="center"/>
    </xf>
    <xf numFmtId="0" fontId="64" fillId="0" borderId="0">
      <alignment vertical="center"/>
    </xf>
  </cellStyleXfs>
  <cellXfs count="503">
    <xf numFmtId="0" fontId="0" fillId="0" borderId="0" xfId="0"/>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11" fillId="0" borderId="0" xfId="0" applyFont="1"/>
    <xf numFmtId="0" fontId="9" fillId="0" borderId="0" xfId="0" applyFont="1"/>
    <xf numFmtId="0" fontId="14" fillId="0" borderId="1" xfId="0" applyFont="1" applyBorder="1" applyAlignment="1">
      <alignment horizontal="center" vertical="center"/>
    </xf>
    <xf numFmtId="0" fontId="14" fillId="0" borderId="1" xfId="0" applyFont="1" applyBorder="1" applyAlignment="1">
      <alignment horizontal="center"/>
    </xf>
    <xf numFmtId="0" fontId="13" fillId="0" borderId="0" xfId="0" applyFont="1"/>
    <xf numFmtId="0" fontId="11" fillId="0" borderId="0" xfId="1"/>
    <xf numFmtId="0" fontId="6" fillId="0" borderId="0" xfId="0" applyFont="1"/>
    <xf numFmtId="0" fontId="8" fillId="0" borderId="0" xfId="0" applyFont="1" applyAlignment="1">
      <alignment vertical="center"/>
    </xf>
    <xf numFmtId="0" fontId="19" fillId="0" borderId="0" xfId="0" applyFont="1"/>
    <xf numFmtId="0" fontId="25" fillId="0" borderId="0" xfId="0" applyFont="1" applyAlignment="1">
      <alignment horizontal="center" vertical="center" wrapText="1"/>
    </xf>
    <xf numFmtId="0" fontId="9" fillId="0" borderId="0" xfId="1" applyFont="1"/>
    <xf numFmtId="0" fontId="12" fillId="0" borderId="0" xfId="0" applyFont="1"/>
    <xf numFmtId="0" fontId="16" fillId="0" borderId="0" xfId="0" applyFont="1" applyAlignment="1">
      <alignment wrapText="1"/>
    </xf>
    <xf numFmtId="0" fontId="6" fillId="0" borderId="0" xfId="4" applyAlignment="1">
      <alignment wrapText="1"/>
    </xf>
    <xf numFmtId="0" fontId="6" fillId="0" borderId="0" xfId="4"/>
    <xf numFmtId="0" fontId="24" fillId="0" borderId="0" xfId="0" applyFont="1"/>
    <xf numFmtId="0" fontId="26" fillId="0" borderId="10" xfId="1" applyFont="1" applyBorder="1"/>
    <xf numFmtId="0" fontId="26" fillId="0" borderId="11" xfId="1" applyFont="1" applyBorder="1"/>
    <xf numFmtId="0" fontId="26" fillId="0" borderId="16" xfId="1" applyFont="1" applyBorder="1"/>
    <xf numFmtId="0" fontId="26" fillId="0" borderId="0" xfId="1" applyFont="1"/>
    <xf numFmtId="0" fontId="9" fillId="0" borderId="20" xfId="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0" xfId="0" applyAlignment="1">
      <alignment horizontal="center" vertical="center"/>
    </xf>
    <xf numFmtId="0" fontId="6" fillId="0" borderId="21" xfId="0" applyFont="1" applyBorder="1" applyAlignment="1">
      <alignment horizontal="center" vertical="center"/>
    </xf>
    <xf numFmtId="0" fontId="0" fillId="0" borderId="1" xfId="0" applyBorder="1" applyAlignment="1">
      <alignment horizontal="center" vertical="center"/>
    </xf>
    <xf numFmtId="0" fontId="9" fillId="0" borderId="19" xfId="0" applyFont="1" applyBorder="1" applyAlignment="1">
      <alignment horizontal="center" vertical="center"/>
    </xf>
    <xf numFmtId="0" fontId="9" fillId="0" borderId="1" xfId="1" applyFont="1" applyBorder="1" applyAlignment="1">
      <alignment horizontal="center" vertical="center"/>
    </xf>
    <xf numFmtId="0" fontId="9" fillId="0" borderId="1"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24" fillId="0" borderId="21" xfId="0" applyFont="1" applyBorder="1" applyAlignment="1">
      <alignment horizontal="center" vertical="center"/>
    </xf>
    <xf numFmtId="0" fontId="6" fillId="0" borderId="0" xfId="0" applyFont="1" applyAlignment="1">
      <alignment horizontal="center" vertical="center"/>
    </xf>
    <xf numFmtId="0" fontId="9" fillId="0" borderId="0" xfId="0" applyFont="1" applyAlignment="1">
      <alignment horizontal="center" vertical="center"/>
    </xf>
    <xf numFmtId="0" fontId="24" fillId="0" borderId="0" xfId="0" applyFont="1" applyAlignment="1">
      <alignment horizontal="center" vertical="center"/>
    </xf>
    <xf numFmtId="0" fontId="19" fillId="0" borderId="0" xfId="0" applyFont="1" applyAlignment="1">
      <alignment horizontal="center" vertical="center"/>
    </xf>
    <xf numFmtId="49" fontId="6" fillId="0" borderId="21" xfId="2" applyNumberFormat="1" applyFont="1" applyBorder="1" applyAlignment="1">
      <alignment horizontal="center" vertical="center" wrapText="1"/>
    </xf>
    <xf numFmtId="0" fontId="6" fillId="2" borderId="21" xfId="0" applyFont="1" applyFill="1" applyBorder="1" applyAlignment="1">
      <alignment horizontal="center" vertical="center"/>
    </xf>
    <xf numFmtId="0" fontId="24" fillId="2" borderId="0" xfId="0" applyFont="1" applyFill="1" applyAlignment="1">
      <alignment horizontal="center"/>
    </xf>
    <xf numFmtId="0" fontId="27" fillId="0" borderId="0" xfId="0" applyFont="1"/>
    <xf numFmtId="0" fontId="24" fillId="2" borderId="0" xfId="0" applyFont="1" applyFill="1" applyAlignment="1">
      <alignment horizontal="center" vertical="center"/>
    </xf>
    <xf numFmtId="0" fontId="6" fillId="0" borderId="21" xfId="1" applyFont="1" applyBorder="1" applyAlignment="1">
      <alignment horizontal="center" vertical="center"/>
    </xf>
    <xf numFmtId="0" fontId="9" fillId="2" borderId="0" xfId="0" applyFont="1" applyFill="1" applyAlignment="1">
      <alignment horizontal="left"/>
    </xf>
    <xf numFmtId="0" fontId="26" fillId="0" borderId="0" xfId="1" applyFont="1" applyAlignment="1">
      <alignment horizontal="center" vertical="center"/>
    </xf>
    <xf numFmtId="0" fontId="6" fillId="0" borderId="23" xfId="0" applyFont="1" applyBorder="1" applyAlignment="1">
      <alignment horizontal="center" vertical="center"/>
    </xf>
    <xf numFmtId="0" fontId="0" fillId="0" borderId="21" xfId="0" applyBorder="1"/>
    <xf numFmtId="0" fontId="6" fillId="0" borderId="21" xfId="0" applyFont="1" applyBorder="1"/>
    <xf numFmtId="0" fontId="6" fillId="0" borderId="9" xfId="0" applyFont="1" applyBorder="1" applyAlignment="1">
      <alignment horizontal="center" vertical="center"/>
    </xf>
    <xf numFmtId="0" fontId="26" fillId="2" borderId="11" xfId="1" applyFont="1" applyFill="1" applyBorder="1"/>
    <xf numFmtId="0" fontId="24" fillId="2" borderId="0" xfId="0" applyFont="1" applyFill="1"/>
    <xf numFmtId="0" fontId="6" fillId="0" borderId="1" xfId="0" applyFont="1" applyBorder="1" applyAlignment="1">
      <alignment horizontal="center"/>
    </xf>
    <xf numFmtId="0" fontId="24" fillId="2" borderId="20" xfId="0" applyFont="1" applyFill="1" applyBorder="1" applyAlignment="1">
      <alignment horizontal="center" vertical="center"/>
    </xf>
    <xf numFmtId="0" fontId="6" fillId="2" borderId="20" xfId="0" applyFont="1" applyFill="1" applyBorder="1" applyAlignment="1">
      <alignment horizontal="center" vertical="center"/>
    </xf>
    <xf numFmtId="0" fontId="0" fillId="0" borderId="9" xfId="0" applyBorder="1" applyAlignment="1">
      <alignment horizontal="center" vertical="center"/>
    </xf>
    <xf numFmtId="0" fontId="6" fillId="0" borderId="1" xfId="0" applyFont="1" applyBorder="1" applyAlignment="1">
      <alignment horizontal="center" vertical="center" wrapText="1"/>
    </xf>
    <xf numFmtId="0" fontId="24" fillId="0" borderId="1" xfId="0" applyFont="1" applyBorder="1" applyAlignment="1">
      <alignment horizontal="center" vertical="center"/>
    </xf>
    <xf numFmtId="49" fontId="6" fillId="0" borderId="0" xfId="2" applyNumberFormat="1" applyFont="1" applyBorder="1" applyAlignment="1">
      <alignment horizontal="center" vertical="center" wrapText="1"/>
    </xf>
    <xf numFmtId="0" fontId="6" fillId="2" borderId="0" xfId="0" applyFont="1" applyFill="1" applyAlignment="1">
      <alignment horizontal="center" vertical="center"/>
    </xf>
    <xf numFmtId="0" fontId="19" fillId="2" borderId="0" xfId="0" applyFont="1" applyFill="1" applyAlignment="1">
      <alignment horizontal="center" vertical="center"/>
    </xf>
    <xf numFmtId="0" fontId="6" fillId="2" borderId="1" xfId="0" applyFont="1" applyFill="1" applyBorder="1" applyAlignment="1">
      <alignment horizontal="center" vertical="center"/>
    </xf>
    <xf numFmtId="0" fontId="6" fillId="0" borderId="1" xfId="1" applyFont="1" applyBorder="1" applyAlignment="1">
      <alignment horizontal="center" vertical="center"/>
    </xf>
    <xf numFmtId="0" fontId="26" fillId="0" borderId="21" xfId="1" applyFont="1" applyBorder="1" applyAlignment="1">
      <alignment horizontal="center" vertical="center"/>
    </xf>
    <xf numFmtId="0" fontId="9" fillId="0" borderId="21" xfId="0" applyFont="1" applyBorder="1" applyAlignment="1">
      <alignment horizontal="center" vertical="center" wrapText="1"/>
    </xf>
    <xf numFmtId="0" fontId="0" fillId="2" borderId="0" xfId="0" applyFill="1" applyAlignment="1">
      <alignment vertical="center"/>
    </xf>
    <xf numFmtId="0" fontId="6" fillId="2" borderId="0" xfId="0" applyFont="1" applyFill="1" applyAlignment="1">
      <alignment vertical="center" wrapText="1"/>
    </xf>
    <xf numFmtId="0" fontId="0" fillId="2" borderId="0" xfId="0" applyFill="1"/>
    <xf numFmtId="0" fontId="9" fillId="0" borderId="17" xfId="0" applyFont="1" applyBorder="1" applyAlignment="1">
      <alignment horizontal="center" vertical="center"/>
    </xf>
    <xf numFmtId="0" fontId="35" fillId="0" borderId="18" xfId="0" applyFont="1" applyBorder="1" applyAlignment="1">
      <alignment horizontal="center" vertical="center"/>
    </xf>
    <xf numFmtId="0" fontId="35" fillId="0" borderId="18" xfId="0" applyFont="1" applyBorder="1" applyAlignment="1">
      <alignment horizontal="center" vertical="center" wrapText="1"/>
    </xf>
    <xf numFmtId="0" fontId="9"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3" fillId="0" borderId="21" xfId="0" applyFont="1" applyBorder="1" applyAlignment="1">
      <alignment horizontal="center" vertical="center" wrapText="1"/>
    </xf>
    <xf numFmtId="0" fontId="0" fillId="0" borderId="21" xfId="0" applyBorder="1" applyAlignment="1">
      <alignment horizontal="center" vertical="center" wrapText="1"/>
    </xf>
    <xf numFmtId="0" fontId="11" fillId="0" borderId="0" xfId="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6" fillId="0" borderId="9" xfId="0" applyFont="1" applyBorder="1" applyAlignment="1">
      <alignment horizontal="center" vertical="center" wrapText="1"/>
    </xf>
    <xf numFmtId="0" fontId="0" fillId="0" borderId="23" xfId="0" applyBorder="1" applyAlignment="1">
      <alignment horizontal="center" vertical="center" wrapText="1"/>
    </xf>
    <xf numFmtId="0" fontId="9" fillId="0" borderId="21" xfId="1" applyFont="1" applyBorder="1" applyAlignment="1">
      <alignment horizontal="center" vertical="center"/>
    </xf>
    <xf numFmtId="0" fontId="11" fillId="0" borderId="25" xfId="1" applyBorder="1" applyAlignment="1">
      <alignment horizontal="center" vertical="center"/>
    </xf>
    <xf numFmtId="0" fontId="9" fillId="0" borderId="8" xfId="0" applyFont="1" applyBorder="1" applyAlignment="1">
      <alignment horizontal="center" vertical="center"/>
    </xf>
    <xf numFmtId="0" fontId="11" fillId="0" borderId="20" xfId="1" applyBorder="1" applyAlignment="1">
      <alignment horizontal="center" vertical="center"/>
    </xf>
    <xf numFmtId="0" fontId="11" fillId="0" borderId="22" xfId="1" applyBorder="1" applyAlignment="1">
      <alignment horizontal="center" vertical="center"/>
    </xf>
    <xf numFmtId="0" fontId="9" fillId="0" borderId="9" xfId="0" applyFont="1" applyBorder="1" applyAlignment="1">
      <alignment horizontal="center" vertical="center"/>
    </xf>
    <xf numFmtId="0" fontId="11" fillId="0" borderId="8" xfId="1" applyBorder="1" applyAlignment="1">
      <alignment horizontal="center" vertical="center"/>
    </xf>
    <xf numFmtId="0" fontId="11" fillId="0" borderId="1" xfId="1" applyBorder="1" applyAlignment="1">
      <alignment horizontal="center" vertical="center"/>
    </xf>
    <xf numFmtId="0" fontId="11" fillId="0" borderId="9" xfId="1" applyBorder="1" applyAlignment="1">
      <alignment horizontal="center" vertical="center"/>
    </xf>
    <xf numFmtId="0" fontId="6" fillId="0" borderId="20" xfId="0" quotePrefix="1" applyFont="1" applyBorder="1" applyAlignment="1">
      <alignment horizontal="center" vertical="center"/>
    </xf>
    <xf numFmtId="0" fontId="6" fillId="0" borderId="32" xfId="0" applyFont="1" applyBorder="1" applyAlignment="1">
      <alignment horizontal="left" vertical="center"/>
    </xf>
    <xf numFmtId="0" fontId="0" fillId="0" borderId="33" xfId="0" applyBorder="1" applyAlignment="1">
      <alignment horizontal="left" vertical="center"/>
    </xf>
    <xf numFmtId="0" fontId="6" fillId="0" borderId="3" xfId="0" applyFont="1" applyBorder="1" applyAlignment="1">
      <alignment horizontal="left" vertical="center"/>
    </xf>
    <xf numFmtId="0" fontId="0" fillId="0" borderId="4" xfId="0" applyBorder="1" applyAlignment="1">
      <alignment horizontal="left" vertical="center"/>
    </xf>
    <xf numFmtId="0" fontId="6" fillId="0" borderId="9" xfId="1" applyFont="1" applyBorder="1" applyAlignment="1">
      <alignment horizontal="center" vertical="center"/>
    </xf>
    <xf numFmtId="0" fontId="13" fillId="0" borderId="0" xfId="0" applyFont="1" applyAlignment="1">
      <alignment horizontal="center" vertical="center"/>
    </xf>
    <xf numFmtId="0" fontId="13" fillId="0" borderId="21" xfId="0"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applyAlignment="1">
      <alignment horizontal="center" vertical="center"/>
    </xf>
    <xf numFmtId="0" fontId="13" fillId="0" borderId="22" xfId="0" applyFont="1" applyBorder="1" applyAlignment="1">
      <alignment horizontal="center" vertical="center"/>
    </xf>
    <xf numFmtId="0" fontId="13" fillId="0" borderId="9" xfId="0" applyFont="1" applyBorder="1" applyAlignment="1">
      <alignment horizontal="center" vertical="center"/>
    </xf>
    <xf numFmtId="0" fontId="13" fillId="0" borderId="23" xfId="0" applyFont="1" applyBorder="1" applyAlignment="1">
      <alignment horizontal="center" vertical="center" wrapText="1"/>
    </xf>
    <xf numFmtId="0" fontId="9" fillId="0" borderId="1" xfId="0" applyFont="1" applyBorder="1" applyAlignment="1">
      <alignment vertical="center" wrapText="1"/>
    </xf>
    <xf numFmtId="0" fontId="11" fillId="0" borderId="0" xfId="1" applyAlignment="1">
      <alignment horizontal="center"/>
    </xf>
    <xf numFmtId="0" fontId="0" fillId="0" borderId="0" xfId="0" applyAlignment="1">
      <alignment horizontal="center"/>
    </xf>
    <xf numFmtId="0" fontId="33" fillId="0" borderId="21" xfId="0" applyFont="1" applyBorder="1" applyAlignment="1">
      <alignment horizontal="center" vertical="center"/>
    </xf>
    <xf numFmtId="0" fontId="6" fillId="0" borderId="0" xfId="4" applyAlignment="1">
      <alignment horizontal="center" vertical="center"/>
    </xf>
    <xf numFmtId="0" fontId="0" fillId="2" borderId="20" xfId="0" applyFill="1" applyBorder="1" applyAlignment="1">
      <alignment horizontal="center" vertical="center"/>
    </xf>
    <xf numFmtId="0" fontId="43" fillId="0" borderId="1" xfId="0" applyFont="1" applyBorder="1" applyAlignment="1">
      <alignment horizontal="center" vertical="center"/>
    </xf>
    <xf numFmtId="0" fontId="42" fillId="0" borderId="21" xfId="0" applyFont="1" applyBorder="1"/>
    <xf numFmtId="0" fontId="43" fillId="0" borderId="1" xfId="0" applyFont="1" applyBorder="1" applyAlignment="1">
      <alignment horizontal="center"/>
    </xf>
    <xf numFmtId="0" fontId="42" fillId="0" borderId="1" xfId="0" applyFont="1" applyBorder="1" applyAlignment="1">
      <alignment horizontal="center"/>
    </xf>
    <xf numFmtId="0" fontId="41" fillId="0" borderId="1" xfId="0" applyFont="1" applyBorder="1" applyAlignment="1">
      <alignment horizontal="center" vertical="center" wrapText="1"/>
    </xf>
    <xf numFmtId="0" fontId="40" fillId="0" borderId="1" xfId="5" applyFont="1" applyBorder="1" applyAlignment="1">
      <alignment horizontal="center" vertical="center"/>
    </xf>
    <xf numFmtId="0" fontId="37" fillId="0" borderId="1" xfId="4" applyFont="1" applyBorder="1" applyAlignment="1">
      <alignment horizontal="center" vertical="center"/>
    </xf>
    <xf numFmtId="0" fontId="9" fillId="0" borderId="0" xfId="4" applyFont="1" applyAlignment="1">
      <alignment horizontal="center" vertical="center"/>
    </xf>
    <xf numFmtId="0" fontId="42" fillId="2" borderId="20" xfId="0" applyFont="1" applyFill="1" applyBorder="1" applyAlignment="1">
      <alignment horizontal="center" vertical="center"/>
    </xf>
    <xf numFmtId="0" fontId="6" fillId="0" borderId="0" xfId="4" applyAlignment="1">
      <alignment horizontal="left" vertical="center" wrapText="1"/>
    </xf>
    <xf numFmtId="0" fontId="6" fillId="0" borderId="0" xfId="4" applyAlignment="1">
      <alignment horizontal="left" vertical="center"/>
    </xf>
    <xf numFmtId="0" fontId="9" fillId="0" borderId="14" xfId="0" applyFont="1" applyBorder="1" applyAlignment="1">
      <alignment horizontal="center" vertical="center"/>
    </xf>
    <xf numFmtId="0" fontId="6" fillId="0" borderId="14" xfId="0" applyFont="1" applyBorder="1" applyAlignment="1">
      <alignment horizontal="center" vertical="center"/>
    </xf>
    <xf numFmtId="49" fontId="6" fillId="2" borderId="14" xfId="2" applyNumberFormat="1" applyFont="1" applyFill="1" applyBorder="1" applyAlignment="1">
      <alignment horizontal="center" vertical="center" wrapText="1"/>
    </xf>
    <xf numFmtId="0" fontId="39" fillId="0" borderId="20" xfId="5" applyFont="1" applyBorder="1" applyAlignment="1">
      <alignment horizontal="center" vertical="center"/>
    </xf>
    <xf numFmtId="0" fontId="37" fillId="0" borderId="21" xfId="4" applyFont="1" applyBorder="1" applyAlignment="1">
      <alignment horizontal="center" vertical="center"/>
    </xf>
    <xf numFmtId="0" fontId="38" fillId="0" borderId="22" xfId="4" applyFont="1" applyBorder="1" applyAlignment="1">
      <alignment horizontal="center" vertical="center"/>
    </xf>
    <xf numFmtId="0" fontId="38" fillId="0" borderId="9" xfId="4" applyFont="1" applyBorder="1" applyAlignment="1">
      <alignment horizontal="center" vertical="center" wrapText="1"/>
    </xf>
    <xf numFmtId="0" fontId="38" fillId="0" borderId="9" xfId="4" applyFont="1" applyBorder="1" applyAlignment="1">
      <alignment horizontal="center" vertical="center"/>
    </xf>
    <xf numFmtId="0" fontId="24" fillId="0" borderId="23" xfId="4" applyFont="1" applyBorder="1" applyAlignment="1">
      <alignment horizontal="center" vertical="center" wrapText="1"/>
    </xf>
    <xf numFmtId="0" fontId="41" fillId="0" borderId="20" xfId="0" applyFont="1" applyBorder="1" applyAlignment="1">
      <alignment horizontal="center" vertical="center" wrapText="1"/>
    </xf>
    <xf numFmtId="0" fontId="41" fillId="0" borderId="21" xfId="0" applyFont="1" applyBorder="1" applyAlignment="1">
      <alignment horizontal="center" vertical="center" wrapText="1"/>
    </xf>
    <xf numFmtId="0" fontId="0" fillId="0" borderId="3" xfId="0" applyBorder="1" applyAlignment="1">
      <alignment horizontal="center" vertical="center" wrapText="1"/>
    </xf>
    <xf numFmtId="0" fontId="41" fillId="0" borderId="29"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10" fillId="0" borderId="0" xfId="0" applyFont="1" applyAlignment="1">
      <alignment vertical="center"/>
    </xf>
    <xf numFmtId="0" fontId="13" fillId="0" borderId="0" xfId="0" applyFont="1" applyAlignment="1">
      <alignment horizontal="center" vertical="center" wrapText="1"/>
    </xf>
    <xf numFmtId="0" fontId="9" fillId="0" borderId="1" xfId="0" applyFont="1" applyBorder="1" applyAlignment="1">
      <alignment horizontal="left" vertical="center" wrapText="1"/>
    </xf>
    <xf numFmtId="0" fontId="9" fillId="2" borderId="1" xfId="0" applyFont="1" applyFill="1" applyBorder="1" applyAlignment="1">
      <alignment horizontal="center" vertical="center" wrapText="1"/>
    </xf>
    <xf numFmtId="0" fontId="15" fillId="0" borderId="1" xfId="0" applyFont="1" applyBorder="1" applyAlignment="1">
      <alignment vertical="center" wrapText="1"/>
    </xf>
    <xf numFmtId="0" fontId="0" fillId="2" borderId="1" xfId="0"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wrapText="1"/>
    </xf>
    <xf numFmtId="0" fontId="4" fillId="0" borderId="0" xfId="6"/>
    <xf numFmtId="0" fontId="6" fillId="0" borderId="0" xfId="6" applyFont="1" applyAlignment="1">
      <alignment horizontal="right"/>
    </xf>
    <xf numFmtId="0" fontId="4" fillId="0" borderId="0" xfId="6" applyAlignment="1">
      <alignment vertical="center"/>
    </xf>
    <xf numFmtId="0" fontId="4" fillId="0" borderId="0" xfId="6" applyAlignment="1">
      <alignment horizontal="center" vertical="center"/>
    </xf>
    <xf numFmtId="0" fontId="9" fillId="0" borderId="1" xfId="6" applyFont="1" applyBorder="1" applyAlignment="1">
      <alignment horizontal="center" vertical="center" wrapText="1"/>
    </xf>
    <xf numFmtId="0" fontId="13" fillId="0" borderId="20" xfId="0" applyFont="1" applyBorder="1" applyAlignment="1">
      <alignment horizontal="center" vertical="center" wrapText="1"/>
    </xf>
    <xf numFmtId="0" fontId="6" fillId="0" borderId="14" xfId="1" applyFont="1" applyBorder="1" applyAlignment="1">
      <alignment horizontal="center" vertical="center"/>
    </xf>
    <xf numFmtId="0" fontId="12" fillId="0" borderId="0" xfId="0" applyFont="1" applyAlignment="1">
      <alignment vertical="center"/>
    </xf>
    <xf numFmtId="0" fontId="6" fillId="0" borderId="20" xfId="0" applyFont="1" applyBorder="1" applyAlignment="1">
      <alignment horizontal="center" vertical="center"/>
    </xf>
    <xf numFmtId="0" fontId="6" fillId="0" borderId="13" xfId="0" applyFont="1" applyBorder="1" applyAlignment="1">
      <alignment wrapText="1"/>
    </xf>
    <xf numFmtId="0" fontId="6" fillId="0" borderId="21" xfId="0" applyFont="1" applyBorder="1" applyAlignment="1">
      <alignment horizontal="center" vertical="center" wrapText="1"/>
    </xf>
    <xf numFmtId="0" fontId="6" fillId="0" borderId="12" xfId="0" applyFont="1" applyBorder="1" applyAlignment="1">
      <alignment wrapText="1"/>
    </xf>
    <xf numFmtId="0" fontId="6" fillId="0" borderId="13" xfId="0" applyFont="1" applyBorder="1"/>
    <xf numFmtId="0" fontId="9" fillId="0" borderId="37" xfId="0" applyFont="1" applyBorder="1" applyAlignment="1">
      <alignment horizontal="center" vertical="center"/>
    </xf>
    <xf numFmtId="14" fontId="0" fillId="0" borderId="1" xfId="0" applyNumberFormat="1" applyBorder="1" applyAlignment="1">
      <alignment horizontal="center" vertical="center"/>
    </xf>
    <xf numFmtId="0" fontId="6" fillId="2" borderId="14" xfId="0" applyFont="1" applyFill="1" applyBorder="1" applyAlignment="1">
      <alignment horizontal="center" vertical="center"/>
    </xf>
    <xf numFmtId="0" fontId="6" fillId="6" borderId="20"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21" xfId="0" applyFont="1" applyFill="1" applyBorder="1" applyAlignment="1">
      <alignment horizontal="center" vertical="center" wrapText="1"/>
    </xf>
    <xf numFmtId="0" fontId="44" fillId="6" borderId="1" xfId="0" applyFont="1" applyFill="1" applyBorder="1" applyAlignment="1">
      <alignment horizontal="center" vertical="center"/>
    </xf>
    <xf numFmtId="0" fontId="6" fillId="6" borderId="21" xfId="0" applyFont="1" applyFill="1" applyBorder="1" applyAlignment="1">
      <alignment horizontal="center" vertical="center"/>
    </xf>
    <xf numFmtId="0" fontId="0" fillId="6" borderId="20" xfId="0" applyFill="1" applyBorder="1" applyAlignment="1">
      <alignment horizontal="center" vertical="center"/>
    </xf>
    <xf numFmtId="49" fontId="44" fillId="6" borderId="1" xfId="2" applyNumberFormat="1" applyFont="1" applyFill="1" applyBorder="1" applyAlignment="1">
      <alignment horizontal="center" vertical="center" wrapText="1"/>
    </xf>
    <xf numFmtId="49" fontId="44" fillId="6" borderId="14" xfId="2" applyNumberFormat="1" applyFont="1" applyFill="1" applyBorder="1" applyAlignment="1">
      <alignment horizontal="center" vertical="center" wrapText="1"/>
    </xf>
    <xf numFmtId="49" fontId="44" fillId="6" borderId="21" xfId="2" applyNumberFormat="1" applyFont="1" applyFill="1" applyBorder="1" applyAlignment="1">
      <alignment horizontal="center" vertical="center" wrapText="1"/>
    </xf>
    <xf numFmtId="0" fontId="44" fillId="6" borderId="14" xfId="0" applyFont="1" applyFill="1" applyBorder="1" applyAlignment="1">
      <alignment horizontal="center" vertical="center"/>
    </xf>
    <xf numFmtId="0" fontId="44" fillId="6" borderId="21" xfId="0" applyFont="1" applyFill="1" applyBorder="1" applyAlignment="1">
      <alignment horizontal="center" vertical="center"/>
    </xf>
    <xf numFmtId="0" fontId="6" fillId="6" borderId="22" xfId="0" applyFont="1" applyFill="1" applyBorder="1" applyAlignment="1">
      <alignment horizontal="center" vertical="center"/>
    </xf>
    <xf numFmtId="0" fontId="44" fillId="6" borderId="9" xfId="0" applyFont="1" applyFill="1" applyBorder="1" applyAlignment="1">
      <alignment horizontal="center" vertical="center"/>
    </xf>
    <xf numFmtId="0" fontId="44" fillId="6" borderId="35" xfId="0" applyFont="1" applyFill="1" applyBorder="1" applyAlignment="1">
      <alignment horizontal="center" vertical="center"/>
    </xf>
    <xf numFmtId="0" fontId="6" fillId="6" borderId="14" xfId="0" applyFont="1" applyFill="1" applyBorder="1" applyAlignment="1">
      <alignment horizontal="center" vertical="center"/>
    </xf>
    <xf numFmtId="0" fontId="44" fillId="6" borderId="14" xfId="1" applyFont="1" applyFill="1" applyBorder="1" applyAlignment="1">
      <alignment horizontal="center" vertical="center"/>
    </xf>
    <xf numFmtId="0" fontId="44" fillId="6" borderId="21" xfId="0" applyFont="1" applyFill="1" applyBorder="1" applyAlignment="1">
      <alignment horizontal="center" vertical="center" wrapText="1"/>
    </xf>
    <xf numFmtId="0" fontId="44" fillId="6" borderId="1" xfId="0" applyFont="1" applyFill="1" applyBorder="1" applyAlignment="1">
      <alignment horizontal="center"/>
    </xf>
    <xf numFmtId="0" fontId="44" fillId="6" borderId="14" xfId="0" applyFont="1" applyFill="1" applyBorder="1" applyAlignment="1">
      <alignment horizontal="center"/>
    </xf>
    <xf numFmtId="0" fontId="44" fillId="6" borderId="21" xfId="0" applyFont="1" applyFill="1" applyBorder="1" applyAlignment="1">
      <alignment horizontal="center"/>
    </xf>
    <xf numFmtId="49" fontId="6" fillId="0" borderId="1" xfId="2" applyNumberFormat="1" applyFont="1" applyBorder="1" applyAlignment="1">
      <alignment horizontal="center" vertical="center" wrapText="1"/>
    </xf>
    <xf numFmtId="0" fontId="47" fillId="0" borderId="54" xfId="0" applyFont="1" applyBorder="1" applyAlignment="1">
      <alignment horizontal="center" vertical="center" wrapText="1"/>
    </xf>
    <xf numFmtId="0" fontId="41" fillId="0" borderId="4" xfId="0" applyFont="1" applyBorder="1" applyAlignment="1">
      <alignment horizontal="center" vertical="center" wrapText="1"/>
    </xf>
    <xf numFmtId="0" fontId="46" fillId="0" borderId="54" xfId="0" applyFont="1" applyBorder="1" applyAlignment="1">
      <alignment vertical="top" wrapText="1"/>
    </xf>
    <xf numFmtId="0" fontId="50" fillId="0" borderId="4" xfId="0" applyFont="1" applyBorder="1" applyAlignment="1">
      <alignment horizontal="center" vertical="center" wrapText="1"/>
    </xf>
    <xf numFmtId="0" fontId="6" fillId="7" borderId="20" xfId="0" applyFont="1" applyFill="1" applyBorder="1" applyAlignment="1">
      <alignment horizontal="center" vertical="center"/>
    </xf>
    <xf numFmtId="0" fontId="6" fillId="7" borderId="22" xfId="0" applyFont="1" applyFill="1" applyBorder="1" applyAlignment="1">
      <alignment horizontal="center" vertical="center"/>
    </xf>
    <xf numFmtId="0" fontId="6" fillId="7" borderId="20" xfId="4" applyFill="1" applyBorder="1" applyAlignment="1">
      <alignment horizontal="center" vertical="center"/>
    </xf>
    <xf numFmtId="0" fontId="6" fillId="7" borderId="1" xfId="4" applyFill="1" applyBorder="1" applyAlignment="1">
      <alignment horizontal="center" vertical="center"/>
    </xf>
    <xf numFmtId="0" fontId="6" fillId="7" borderId="21" xfId="4" applyFill="1" applyBorder="1" applyAlignment="1">
      <alignment horizontal="center" vertical="center"/>
    </xf>
    <xf numFmtId="0" fontId="13"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4" fillId="0" borderId="1" xfId="0" applyFont="1" applyBorder="1" applyAlignment="1">
      <alignment horizontal="center" vertical="center" wrapText="1" readingOrder="1"/>
    </xf>
    <xf numFmtId="0" fontId="57" fillId="0" borderId="1" xfId="0" applyFont="1" applyBorder="1" applyAlignment="1">
      <alignment horizontal="center" vertical="center" wrapText="1" readingOrder="1"/>
    </xf>
    <xf numFmtId="0" fontId="19" fillId="0" borderId="1" xfId="0" applyFont="1" applyBorder="1" applyAlignment="1">
      <alignment horizontal="center" vertical="center" wrapText="1"/>
    </xf>
    <xf numFmtId="0" fontId="6" fillId="7" borderId="9" xfId="0" applyFont="1" applyFill="1" applyBorder="1" applyAlignment="1">
      <alignment horizontal="center"/>
    </xf>
    <xf numFmtId="0" fontId="6" fillId="7" borderId="1" xfId="0" applyFont="1" applyFill="1" applyBorder="1" applyAlignment="1">
      <alignment horizontal="center"/>
    </xf>
    <xf numFmtId="0" fontId="6" fillId="7" borderId="21" xfId="0" applyFont="1" applyFill="1" applyBorder="1" applyAlignment="1">
      <alignment vertical="top"/>
    </xf>
    <xf numFmtId="0" fontId="15" fillId="7" borderId="21" xfId="0" applyFont="1" applyFill="1" applyBorder="1" applyAlignment="1">
      <alignment horizontal="center" vertical="center" wrapText="1"/>
    </xf>
    <xf numFmtId="0" fontId="6" fillId="2" borderId="22" xfId="0" applyFont="1" applyFill="1" applyBorder="1" applyAlignment="1">
      <alignment horizontal="center" vertical="center"/>
    </xf>
    <xf numFmtId="0" fontId="6" fillId="0" borderId="35" xfId="0" applyFont="1" applyBorder="1" applyAlignment="1">
      <alignment horizontal="center" vertical="center"/>
    </xf>
    <xf numFmtId="0" fontId="63" fillId="0" borderId="0" xfId="16" applyFont="1" applyAlignment="1"/>
    <xf numFmtId="0" fontId="67" fillId="0" borderId="0" xfId="16" applyFont="1" applyAlignment="1"/>
    <xf numFmtId="0" fontId="3" fillId="0" borderId="0" xfId="16" applyFont="1" applyAlignment="1"/>
    <xf numFmtId="0" fontId="6" fillId="0" borderId="33" xfId="0" applyFont="1" applyBorder="1"/>
    <xf numFmtId="0" fontId="6" fillId="0" borderId="31" xfId="0" applyFont="1" applyBorder="1" applyAlignment="1">
      <alignment horizontal="center" vertical="center"/>
    </xf>
    <xf numFmtId="0" fontId="6" fillId="4" borderId="20" xfId="4" applyFill="1" applyBorder="1" applyAlignment="1">
      <alignment horizontal="center" vertical="center"/>
    </xf>
    <xf numFmtId="0" fontId="10" fillId="4" borderId="0" xfId="0" applyFont="1" applyFill="1" applyAlignment="1">
      <alignment vertical="center"/>
    </xf>
    <xf numFmtId="0" fontId="6" fillId="4" borderId="1" xfId="4" applyFill="1" applyBorder="1" applyAlignment="1">
      <alignment horizontal="center" vertical="center"/>
    </xf>
    <xf numFmtId="0" fontId="6" fillId="4" borderId="21" xfId="4" applyFill="1" applyBorder="1" applyAlignment="1">
      <alignment horizontal="center" vertical="center"/>
    </xf>
    <xf numFmtId="0" fontId="0" fillId="2" borderId="48" xfId="0" applyFill="1" applyBorder="1" applyAlignment="1">
      <alignment horizontal="center" vertical="center"/>
    </xf>
    <xf numFmtId="0" fontId="6" fillId="2" borderId="31" xfId="0" applyFont="1" applyFill="1" applyBorder="1" applyAlignment="1">
      <alignment horizontal="center" vertical="center"/>
    </xf>
    <xf numFmtId="0" fontId="6" fillId="0" borderId="24" xfId="0" applyFont="1" applyBorder="1" applyAlignment="1">
      <alignment horizontal="center" vertical="center"/>
    </xf>
    <xf numFmtId="0" fontId="6" fillId="6" borderId="48" xfId="0" applyFont="1" applyFill="1" applyBorder="1" applyAlignment="1">
      <alignment horizontal="center" vertical="center"/>
    </xf>
    <xf numFmtId="0" fontId="6" fillId="6" borderId="24" xfId="0" applyFont="1" applyFill="1" applyBorder="1" applyAlignment="1">
      <alignment horizontal="center" vertical="center"/>
    </xf>
    <xf numFmtId="0" fontId="6" fillId="0" borderId="48" xfId="0" applyFont="1" applyBorder="1" applyAlignment="1">
      <alignment horizontal="center" vertical="center"/>
    </xf>
    <xf numFmtId="0" fontId="24" fillId="0" borderId="24" xfId="0" applyFont="1" applyBorder="1" applyAlignment="1">
      <alignment horizontal="center" vertical="center"/>
    </xf>
    <xf numFmtId="0" fontId="44" fillId="6" borderId="31" xfId="0" applyFont="1" applyFill="1" applyBorder="1" applyAlignment="1">
      <alignment horizontal="center" vertical="center"/>
    </xf>
    <xf numFmtId="0" fontId="0" fillId="2" borderId="57" xfId="0" applyFill="1" applyBorder="1" applyAlignment="1">
      <alignment horizontal="center" vertical="center"/>
    </xf>
    <xf numFmtId="0" fontId="6" fillId="0" borderId="58" xfId="0" applyFont="1" applyBorder="1" applyAlignment="1">
      <alignment horizontal="center" vertical="center"/>
    </xf>
    <xf numFmtId="0" fontId="6" fillId="2" borderId="58" xfId="0" applyFont="1" applyFill="1" applyBorder="1" applyAlignment="1">
      <alignment horizontal="center" vertical="center"/>
    </xf>
    <xf numFmtId="0" fontId="6" fillId="0" borderId="59" xfId="0" applyFont="1" applyBorder="1" applyAlignment="1">
      <alignment horizontal="center" vertical="center"/>
    </xf>
    <xf numFmtId="0" fontId="6" fillId="0" borderId="57" xfId="0" applyFont="1" applyBorder="1" applyAlignment="1">
      <alignment horizontal="center" vertical="center"/>
    </xf>
    <xf numFmtId="0" fontId="24" fillId="0" borderId="59" xfId="0" applyFont="1" applyBorder="1" applyAlignment="1">
      <alignment horizontal="center" vertical="center"/>
    </xf>
    <xf numFmtId="0" fontId="44" fillId="6" borderId="56" xfId="0" applyFont="1" applyFill="1" applyBorder="1" applyAlignment="1">
      <alignment horizontal="center" vertical="center"/>
    </xf>
    <xf numFmtId="14" fontId="6" fillId="0" borderId="1" xfId="0" applyNumberFormat="1" applyFont="1" applyBorder="1" applyAlignment="1">
      <alignment horizontal="center" vertical="center" wrapText="1"/>
    </xf>
    <xf numFmtId="14" fontId="6" fillId="0" borderId="8" xfId="0" applyNumberFormat="1" applyFont="1" applyBorder="1" applyAlignment="1">
      <alignment horizontal="center" vertical="center" wrapText="1"/>
    </xf>
    <xf numFmtId="0" fontId="19" fillId="5" borderId="1" xfId="6" applyFont="1" applyFill="1" applyBorder="1" applyAlignment="1">
      <alignment horizontal="left" wrapText="1"/>
    </xf>
    <xf numFmtId="0" fontId="19" fillId="5" borderId="1" xfId="6" applyFont="1" applyFill="1" applyBorder="1" applyAlignment="1">
      <alignment horizontal="left" vertical="center" wrapText="1"/>
    </xf>
    <xf numFmtId="0" fontId="30" fillId="5" borderId="1" xfId="6" applyFont="1" applyFill="1" applyBorder="1" applyAlignment="1">
      <alignment horizontal="left" wrapText="1"/>
    </xf>
    <xf numFmtId="0" fontId="6" fillId="4" borderId="1" xfId="0" applyFont="1" applyFill="1" applyBorder="1" applyAlignment="1">
      <alignment horizontal="center"/>
    </xf>
    <xf numFmtId="0" fontId="6" fillId="4" borderId="9" xfId="0" applyFont="1" applyFill="1" applyBorder="1" applyAlignment="1">
      <alignment horizontal="center"/>
    </xf>
    <xf numFmtId="0" fontId="6" fillId="0" borderId="0" xfId="6" applyFont="1" applyAlignment="1">
      <alignment horizontal="left" wrapText="1"/>
    </xf>
    <xf numFmtId="0" fontId="51" fillId="0" borderId="20" xfId="8" applyFont="1" applyBorder="1" applyAlignment="1">
      <alignment horizontal="center" vertical="center"/>
    </xf>
    <xf numFmtId="0" fontId="51" fillId="0" borderId="1" xfId="8" applyFont="1" applyBorder="1" applyAlignment="1">
      <alignment horizontal="center" vertical="center"/>
    </xf>
    <xf numFmtId="0" fontId="13" fillId="0" borderId="21" xfId="0" applyFont="1" applyBorder="1" applyAlignment="1">
      <alignment horizontal="left" vertical="center" wrapText="1"/>
    </xf>
    <xf numFmtId="0" fontId="56" fillId="0" borderId="1" xfId="0" applyFont="1" applyBorder="1" applyAlignment="1">
      <alignment horizontal="left" vertical="center" wrapText="1" readingOrder="1"/>
    </xf>
    <xf numFmtId="0" fontId="59" fillId="0" borderId="1" xfId="0" applyFont="1" applyBorder="1"/>
    <xf numFmtId="0" fontId="59" fillId="0" borderId="8" xfId="0" applyFont="1" applyBorder="1"/>
    <xf numFmtId="0" fontId="60" fillId="0" borderId="1" xfId="0" applyFont="1" applyBorder="1"/>
    <xf numFmtId="0" fontId="59" fillId="0" borderId="2" xfId="0" applyFont="1" applyBorder="1"/>
    <xf numFmtId="0" fontId="0" fillId="0" borderId="1" xfId="0" applyBorder="1" applyAlignment="1">
      <alignment horizontal="center"/>
    </xf>
    <xf numFmtId="0" fontId="0" fillId="0" borderId="1" xfId="0" applyBorder="1"/>
    <xf numFmtId="0" fontId="61" fillId="0" borderId="1" xfId="0" applyFont="1" applyBorder="1"/>
    <xf numFmtId="0" fontId="6" fillId="0" borderId="1" xfId="0" applyFont="1" applyBorder="1"/>
    <xf numFmtId="0" fontId="61" fillId="0" borderId="8" xfId="0" applyFont="1" applyBorder="1"/>
    <xf numFmtId="0" fontId="62" fillId="0" borderId="1" xfId="0" applyFont="1" applyBorder="1"/>
    <xf numFmtId="0" fontId="10" fillId="0" borderId="0" xfId="0" applyFont="1" applyAlignment="1">
      <alignment horizontal="left" wrapText="1"/>
    </xf>
    <xf numFmtId="49" fontId="0" fillId="0" borderId="0" xfId="0" applyNumberFormat="1"/>
    <xf numFmtId="0" fontId="9" fillId="0" borderId="1" xfId="0" applyFont="1" applyBorder="1" applyAlignment="1">
      <alignment horizontal="center" wrapText="1"/>
    </xf>
    <xf numFmtId="0" fontId="9" fillId="0" borderId="1" xfId="0" applyFont="1" applyBorder="1" applyAlignment="1">
      <alignment horizontal="center" textRotation="90" wrapText="1"/>
    </xf>
    <xf numFmtId="0" fontId="9" fillId="0" borderId="1" xfId="0" applyFont="1" applyBorder="1" applyAlignment="1">
      <alignment horizontal="center"/>
    </xf>
    <xf numFmtId="49" fontId="0" fillId="0" borderId="1" xfId="0" applyNumberFormat="1" applyBorder="1"/>
    <xf numFmtId="0" fontId="6" fillId="5" borderId="1" xfId="6" applyFont="1" applyFill="1" applyBorder="1" applyAlignment="1">
      <alignment horizontal="left" wrapText="1"/>
    </xf>
    <xf numFmtId="0" fontId="6" fillId="0" borderId="1" xfId="6" applyFont="1" applyBorder="1" applyAlignment="1">
      <alignment horizontal="left" wrapText="1"/>
    </xf>
    <xf numFmtId="0" fontId="7" fillId="0" borderId="1" xfId="6" applyFont="1" applyBorder="1" applyAlignment="1">
      <alignment horizontal="left" wrapText="1"/>
    </xf>
    <xf numFmtId="0" fontId="7" fillId="5" borderId="1" xfId="6" applyFont="1" applyFill="1" applyBorder="1" applyAlignment="1">
      <alignment horizontal="left" wrapText="1"/>
    </xf>
    <xf numFmtId="0" fontId="7" fillId="3" borderId="1" xfId="6" applyFont="1" applyFill="1" applyBorder="1" applyAlignment="1">
      <alignment horizontal="left" wrapText="1"/>
    </xf>
    <xf numFmtId="0" fontId="7" fillId="0" borderId="1" xfId="0" applyFont="1" applyBorder="1" applyAlignment="1">
      <alignment horizontal="left" wrapText="1"/>
    </xf>
    <xf numFmtId="49" fontId="7" fillId="0" borderId="1" xfId="6" applyNumberFormat="1" applyFont="1" applyBorder="1" applyAlignment="1">
      <alignment horizontal="left" wrapText="1"/>
    </xf>
    <xf numFmtId="0" fontId="6" fillId="3" borderId="1" xfId="6" applyFont="1" applyFill="1" applyBorder="1" applyAlignment="1">
      <alignment horizontal="left" wrapText="1"/>
    </xf>
    <xf numFmtId="0" fontId="10" fillId="0" borderId="49" xfId="0" applyFont="1" applyBorder="1" applyAlignment="1">
      <alignment horizontal="left"/>
    </xf>
    <xf numFmtId="49" fontId="4" fillId="0" borderId="0" xfId="6" applyNumberFormat="1"/>
    <xf numFmtId="0" fontId="70" fillId="4" borderId="1" xfId="0" applyFont="1" applyFill="1" applyBorder="1" applyAlignment="1">
      <alignment horizontal="left" vertical="center" wrapText="1" readingOrder="1"/>
    </xf>
    <xf numFmtId="0" fontId="71" fillId="4" borderId="1" xfId="0" applyFont="1" applyFill="1" applyBorder="1" applyAlignment="1">
      <alignment horizontal="center" vertical="center" wrapText="1" readingOrder="1"/>
    </xf>
    <xf numFmtId="0" fontId="70" fillId="4" borderId="1" xfId="0" applyFont="1" applyFill="1" applyBorder="1" applyAlignment="1">
      <alignment horizontal="center" vertical="center" wrapText="1" readingOrder="1"/>
    </xf>
    <xf numFmtId="0" fontId="53" fillId="4" borderId="2" xfId="0" applyFont="1" applyFill="1" applyBorder="1" applyAlignment="1">
      <alignment horizontal="center" vertical="center" wrapText="1"/>
    </xf>
    <xf numFmtId="0" fontId="54"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0" fontId="6" fillId="0" borderId="1" xfId="0" applyFont="1" applyBorder="1" applyAlignment="1">
      <alignment horizontal="left" wrapText="1"/>
    </xf>
    <xf numFmtId="0" fontId="44" fillId="6" borderId="20" xfId="0" applyFont="1" applyFill="1" applyBorder="1" applyAlignment="1">
      <alignment horizontal="center" vertical="center"/>
    </xf>
    <xf numFmtId="0" fontId="34" fillId="3" borderId="0" xfId="0" applyFont="1" applyFill="1" applyAlignment="1">
      <alignment horizontal="left" wrapText="1"/>
    </xf>
    <xf numFmtId="49" fontId="9" fillId="0" borderId="1" xfId="0" applyNumberFormat="1" applyFont="1" applyBorder="1" applyAlignment="1">
      <alignment horizontal="center" wrapText="1"/>
    </xf>
    <xf numFmtId="49" fontId="7" fillId="3" borderId="1" xfId="6" applyNumberFormat="1" applyFont="1" applyFill="1" applyBorder="1" applyAlignment="1">
      <alignment horizontal="left" wrapText="1"/>
    </xf>
    <xf numFmtId="0" fontId="72" fillId="0" borderId="1" xfId="0" applyFont="1" applyBorder="1" applyAlignment="1">
      <alignment vertical="center"/>
    </xf>
    <xf numFmtId="0" fontId="30" fillId="0" borderId="1" xfId="0" applyFont="1" applyBorder="1" applyAlignment="1">
      <alignment horizontal="left" wrapText="1"/>
    </xf>
    <xf numFmtId="0" fontId="6" fillId="3" borderId="0" xfId="6" applyFont="1" applyFill="1" applyAlignment="1">
      <alignment horizontal="left" wrapText="1"/>
    </xf>
    <xf numFmtId="0" fontId="24" fillId="0" borderId="20" xfId="0" applyFont="1" applyBorder="1" applyAlignment="1">
      <alignment horizontal="center" vertical="center"/>
    </xf>
    <xf numFmtId="15" fontId="10" fillId="0" borderId="0" xfId="0" applyNumberFormat="1" applyFont="1" applyAlignment="1">
      <alignment horizontal="left" wrapText="1"/>
    </xf>
    <xf numFmtId="18" fontId="10" fillId="0" borderId="0" xfId="0" applyNumberFormat="1" applyFont="1" applyAlignment="1">
      <alignment horizontal="left" wrapText="1"/>
    </xf>
    <xf numFmtId="22" fontId="10" fillId="0" borderId="0" xfId="0" applyNumberFormat="1" applyFont="1" applyAlignment="1">
      <alignment horizontal="left" wrapText="1"/>
    </xf>
    <xf numFmtId="0" fontId="0" fillId="0" borderId="62" xfId="0" applyBorder="1"/>
    <xf numFmtId="49" fontId="0" fillId="0" borderId="62" xfId="0" applyNumberFormat="1" applyBorder="1"/>
    <xf numFmtId="0" fontId="9" fillId="0" borderId="0" xfId="0" applyFont="1" applyAlignment="1">
      <alignment horizontal="center"/>
    </xf>
    <xf numFmtId="0" fontId="7" fillId="5" borderId="1" xfId="0" applyFont="1" applyFill="1" applyBorder="1" applyAlignment="1">
      <alignment horizontal="left" wrapText="1"/>
    </xf>
    <xf numFmtId="49" fontId="7" fillId="0" borderId="1" xfId="0" applyNumberFormat="1" applyFont="1" applyBorder="1" applyAlignment="1">
      <alignment horizontal="left" wrapText="1"/>
    </xf>
    <xf numFmtId="0" fontId="30" fillId="3" borderId="1" xfId="0" applyFont="1" applyFill="1" applyBorder="1" applyAlignment="1">
      <alignment horizontal="left" wrapText="1"/>
    </xf>
    <xf numFmtId="0" fontId="9" fillId="0" borderId="63" xfId="0" applyFont="1" applyBorder="1" applyAlignment="1">
      <alignment horizontal="center"/>
    </xf>
    <xf numFmtId="49" fontId="9" fillId="0" borderId="63" xfId="0" applyNumberFormat="1" applyFont="1" applyBorder="1" applyAlignment="1">
      <alignment horizontal="center"/>
    </xf>
    <xf numFmtId="0" fontId="6" fillId="5" borderId="1" xfId="0" applyFont="1" applyFill="1" applyBorder="1" applyAlignment="1">
      <alignment horizontal="left" wrapText="1"/>
    </xf>
    <xf numFmtId="49" fontId="7" fillId="5" borderId="1" xfId="0" applyNumberFormat="1" applyFont="1" applyFill="1" applyBorder="1" applyAlignment="1">
      <alignment horizontal="left" wrapText="1"/>
    </xf>
    <xf numFmtId="0" fontId="45" fillId="5" borderId="1" xfId="6" applyFont="1" applyFill="1" applyBorder="1" applyAlignment="1">
      <alignment horizontal="left" wrapText="1"/>
    </xf>
    <xf numFmtId="0" fontId="42" fillId="0" borderId="20" xfId="0" applyFont="1" applyBorder="1" applyAlignment="1">
      <alignment horizontal="center" vertical="center"/>
    </xf>
    <xf numFmtId="0" fontId="44" fillId="0" borderId="0" xfId="0" applyFont="1" applyAlignment="1">
      <alignment horizontal="center" vertical="center"/>
    </xf>
    <xf numFmtId="0" fontId="44" fillId="6" borderId="0" xfId="0" applyFont="1" applyFill="1" applyAlignment="1">
      <alignment horizontal="center" vertical="center"/>
    </xf>
    <xf numFmtId="0" fontId="0" fillId="3" borderId="1" xfId="0" applyFill="1" applyBorder="1"/>
    <xf numFmtId="0" fontId="76" fillId="0" borderId="0" xfId="0" applyFont="1" applyAlignment="1">
      <alignment vertical="center" wrapText="1"/>
    </xf>
    <xf numFmtId="0" fontId="17" fillId="0" borderId="26" xfId="1" applyFont="1" applyBorder="1" applyAlignment="1">
      <alignment horizontal="center" vertical="center"/>
    </xf>
    <xf numFmtId="0" fontId="17" fillId="0" borderId="21" xfId="1" applyFont="1" applyBorder="1" applyAlignment="1">
      <alignment horizontal="center" vertical="center"/>
    </xf>
    <xf numFmtId="0" fontId="9" fillId="3" borderId="1" xfId="0" applyFont="1" applyFill="1" applyBorder="1" applyAlignment="1">
      <alignment horizontal="center" vertical="center"/>
    </xf>
    <xf numFmtId="2" fontId="6" fillId="0" borderId="1" xfId="1" applyNumberFormat="1" applyFont="1" applyBorder="1" applyAlignment="1">
      <alignment horizontal="center" vertical="center"/>
    </xf>
    <xf numFmtId="2" fontId="44" fillId="0" borderId="1" xfId="1" applyNumberFormat="1" applyFont="1" applyBorder="1" applyAlignment="1">
      <alignment horizontal="center" vertical="center" wrapText="1"/>
    </xf>
    <xf numFmtId="2" fontId="6" fillId="0" borderId="1" xfId="1" applyNumberFormat="1" applyFont="1" applyBorder="1" applyAlignment="1">
      <alignment horizontal="center" vertical="center" wrapText="1"/>
    </xf>
    <xf numFmtId="0" fontId="6" fillId="0" borderId="0" xfId="0" applyFont="1" applyAlignment="1">
      <alignment vertical="top" wrapText="1"/>
    </xf>
    <xf numFmtId="2" fontId="6" fillId="0" borderId="8" xfId="1" applyNumberFormat="1" applyFont="1" applyBorder="1" applyAlignment="1">
      <alignment horizontal="center" vertical="center" wrapText="1"/>
    </xf>
    <xf numFmtId="14" fontId="0" fillId="8" borderId="1" xfId="0" applyNumberFormat="1" applyFill="1" applyBorder="1" applyAlignment="1">
      <alignment horizontal="center" vertical="center"/>
    </xf>
    <xf numFmtId="0" fontId="69" fillId="0" borderId="0" xfId="4" applyFont="1"/>
    <xf numFmtId="0" fontId="88" fillId="0" borderId="1" xfId="0" applyFont="1" applyBorder="1" applyAlignment="1">
      <alignment vertical="center" wrapText="1"/>
    </xf>
    <xf numFmtId="0" fontId="2" fillId="0" borderId="0" xfId="16" applyFont="1" applyAlignment="1"/>
    <xf numFmtId="0" fontId="6" fillId="3" borderId="20"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1" xfId="0" applyFont="1" applyFill="1" applyBorder="1" applyAlignment="1">
      <alignment horizontal="center" vertical="center"/>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5" xfId="0" applyFont="1" applyBorder="1" applyAlignment="1">
      <alignment horizontal="left" vertical="center" wrapText="1"/>
    </xf>
    <xf numFmtId="0" fontId="6" fillId="0" borderId="55" xfId="0" applyFont="1" applyBorder="1" applyAlignment="1">
      <alignment horizontal="left" vertical="center" wrapText="1"/>
    </xf>
    <xf numFmtId="0" fontId="6" fillId="0" borderId="0" xfId="0" applyFont="1" applyAlignment="1">
      <alignment horizontal="left" vertical="center" wrapText="1"/>
    </xf>
    <xf numFmtId="0" fontId="6" fillId="0" borderId="46" xfId="0" applyFont="1" applyBorder="1" applyAlignment="1">
      <alignment horizontal="left" vertical="center" wrapText="1"/>
    </xf>
    <xf numFmtId="0" fontId="9" fillId="0" borderId="1" xfId="0" applyFont="1" applyBorder="1" applyAlignment="1">
      <alignment vertical="center" wrapText="1"/>
    </xf>
    <xf numFmtId="0" fontId="6" fillId="0" borderId="14" xfId="0" applyFont="1" applyBorder="1" applyAlignment="1">
      <alignment horizontal="left" vertical="top" wrapText="1"/>
    </xf>
    <xf numFmtId="0" fontId="6" fillId="0" borderId="15" xfId="0" applyFont="1" applyBorder="1" applyAlignment="1">
      <alignment horizontal="left" vertical="top" wrapText="1"/>
    </xf>
    <xf numFmtId="0" fontId="6" fillId="0" borderId="5" xfId="0" applyFont="1" applyBorder="1" applyAlignment="1">
      <alignment horizontal="left" vertical="top" wrapText="1"/>
    </xf>
    <xf numFmtId="0" fontId="33" fillId="0" borderId="60" xfId="0" applyFont="1" applyBorder="1" applyAlignment="1">
      <alignment horizontal="left" vertical="center" wrapText="1"/>
    </xf>
    <xf numFmtId="0" fontId="33" fillId="0" borderId="53" xfId="0" applyFont="1" applyBorder="1" applyAlignment="1">
      <alignment horizontal="left" vertical="center" wrapText="1"/>
    </xf>
    <xf numFmtId="0" fontId="33" fillId="0" borderId="61" xfId="0" applyFont="1" applyBorder="1" applyAlignment="1">
      <alignment horizontal="left" vertical="center" wrapText="1"/>
    </xf>
    <xf numFmtId="0" fontId="6" fillId="0" borderId="56"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56" xfId="0" applyFont="1" applyBorder="1" applyAlignment="1">
      <alignment horizontal="left" vertical="center" wrapText="1"/>
    </xf>
    <xf numFmtId="0" fontId="6" fillId="0" borderId="42" xfId="0" applyFont="1" applyBorder="1" applyAlignment="1">
      <alignment horizontal="left" vertical="center" wrapText="1"/>
    </xf>
    <xf numFmtId="0" fontId="6" fillId="0" borderId="47" xfId="0" applyFont="1" applyBorder="1" applyAlignment="1">
      <alignment horizontal="left" vertical="center" wrapText="1"/>
    </xf>
    <xf numFmtId="0" fontId="6" fillId="8" borderId="14" xfId="0" applyFont="1" applyFill="1" applyBorder="1" applyAlignment="1">
      <alignment horizontal="left" vertical="top" wrapText="1"/>
    </xf>
    <xf numFmtId="0" fontId="6" fillId="8" borderId="15" xfId="0" applyFont="1" applyFill="1" applyBorder="1" applyAlignment="1">
      <alignment horizontal="left" vertical="top" wrapText="1"/>
    </xf>
    <xf numFmtId="0" fontId="6" fillId="8" borderId="5" xfId="0" applyFont="1" applyFill="1" applyBorder="1" applyAlignment="1">
      <alignment horizontal="left" vertical="top" wrapText="1"/>
    </xf>
    <xf numFmtId="14" fontId="6" fillId="0" borderId="56" xfId="0" applyNumberFormat="1" applyFont="1" applyBorder="1" applyAlignment="1">
      <alignment horizontal="center" vertical="center" wrapText="1"/>
    </xf>
    <xf numFmtId="14" fontId="6" fillId="0" borderId="60" xfId="0" applyNumberFormat="1" applyFont="1" applyBorder="1" applyAlignment="1">
      <alignment horizontal="center" vertical="center" wrapText="1"/>
    </xf>
    <xf numFmtId="14" fontId="6" fillId="0" borderId="55" xfId="0" applyNumberFormat="1" applyFont="1" applyBorder="1" applyAlignment="1">
      <alignment horizontal="center" vertical="center" wrapText="1"/>
    </xf>
    <xf numFmtId="0" fontId="6" fillId="0" borderId="60" xfId="0" applyFont="1" applyBorder="1" applyAlignment="1">
      <alignment horizontal="left" vertical="center" wrapText="1"/>
    </xf>
    <xf numFmtId="0" fontId="6" fillId="0" borderId="53" xfId="0" applyFont="1" applyBorder="1" applyAlignment="1">
      <alignment horizontal="left" vertical="center" wrapText="1"/>
    </xf>
    <xf numFmtId="0" fontId="6" fillId="0" borderId="61" xfId="0" applyFont="1" applyBorder="1" applyAlignment="1">
      <alignment horizontal="left" vertical="center" wrapText="1"/>
    </xf>
    <xf numFmtId="0" fontId="9" fillId="0" borderId="0" xfId="0" applyFont="1" applyAlignment="1">
      <alignment wrapText="1"/>
    </xf>
    <xf numFmtId="0" fontId="6" fillId="0" borderId="21" xfId="0" applyFont="1" applyBorder="1" applyAlignment="1">
      <alignment horizontal="left" vertical="center"/>
    </xf>
    <xf numFmtId="0" fontId="6" fillId="7" borderId="24" xfId="0" applyFont="1" applyFill="1" applyBorder="1" applyAlignment="1">
      <alignment horizontal="left" vertical="center"/>
    </xf>
    <xf numFmtId="0" fontId="6" fillId="7" borderId="30" xfId="0" applyFont="1" applyFill="1" applyBorder="1" applyAlignment="1">
      <alignment horizontal="left" vertical="center"/>
    </xf>
    <xf numFmtId="0" fontId="0" fillId="0" borderId="31"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31" xfId="0" applyBorder="1" applyAlignment="1">
      <alignment horizontal="center" vertical="center" wrapText="1"/>
    </xf>
    <xf numFmtId="0" fontId="61" fillId="0" borderId="2" xfId="0" applyFont="1" applyBorder="1" applyAlignment="1">
      <alignment horizontal="center" vertical="center" wrapText="1"/>
    </xf>
    <xf numFmtId="0" fontId="61" fillId="0" borderId="8" xfId="0" applyFont="1" applyBorder="1" applyAlignment="1">
      <alignment horizontal="center" vertical="center" wrapText="1"/>
    </xf>
    <xf numFmtId="0" fontId="9" fillId="5" borderId="17" xfId="0" applyFont="1" applyFill="1" applyBorder="1" applyAlignment="1">
      <alignment horizontal="center" vertical="center"/>
    </xf>
    <xf numFmtId="0" fontId="9" fillId="5" borderId="18" xfId="0" applyFont="1" applyFill="1" applyBorder="1" applyAlignment="1">
      <alignment horizontal="center" vertical="center"/>
    </xf>
    <xf numFmtId="0" fontId="9" fillId="5" borderId="19" xfId="0" applyFont="1" applyFill="1" applyBorder="1" applyAlignment="1">
      <alignment horizontal="center" vertical="center"/>
    </xf>
    <xf numFmtId="0" fontId="58" fillId="5" borderId="14" xfId="0" applyFont="1" applyFill="1" applyBorder="1" applyAlignment="1">
      <alignment horizontal="center"/>
    </xf>
    <xf numFmtId="0" fontId="58" fillId="5" borderId="15" xfId="0" applyFont="1" applyFill="1" applyBorder="1" applyAlignment="1">
      <alignment horizontal="center"/>
    </xf>
    <xf numFmtId="0" fontId="58" fillId="5" borderId="5" xfId="0" applyFont="1" applyFill="1" applyBorder="1" applyAlignment="1">
      <alignment horizontal="center"/>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9" fillId="3" borderId="19" xfId="0" applyFont="1" applyFill="1" applyBorder="1" applyAlignment="1">
      <alignment horizontal="center" vertical="center"/>
    </xf>
    <xf numFmtId="0" fontId="45" fillId="6" borderId="1" xfId="0" applyFont="1" applyFill="1" applyBorder="1" applyAlignment="1">
      <alignment horizontal="left" vertical="center" wrapText="1"/>
    </xf>
    <xf numFmtId="0" fontId="45" fillId="6" borderId="9" xfId="0" applyFont="1" applyFill="1" applyBorder="1" applyAlignment="1">
      <alignment horizontal="left" vertical="center" wrapText="1"/>
    </xf>
    <xf numFmtId="0" fontId="9" fillId="3" borderId="45"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34" xfId="0" applyFont="1" applyFill="1" applyBorder="1" applyAlignment="1">
      <alignment horizontal="center" vertical="center"/>
    </xf>
    <xf numFmtId="0" fontId="9" fillId="3" borderId="27" xfId="0" applyFont="1" applyFill="1" applyBorder="1" applyAlignment="1">
      <alignment horizontal="center" vertical="center"/>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 xfId="0" applyFont="1" applyBorder="1" applyAlignment="1">
      <alignment horizontal="center" vertical="center" wrapText="1"/>
    </xf>
    <xf numFmtId="0" fontId="44" fillId="6" borderId="20" xfId="0" applyFont="1" applyFill="1" applyBorder="1" applyAlignment="1">
      <alignment horizontal="center" vertical="center"/>
    </xf>
    <xf numFmtId="0" fontId="44" fillId="6" borderId="22" xfId="0" applyFont="1" applyFill="1" applyBorder="1" applyAlignment="1">
      <alignment horizontal="center" vertical="center"/>
    </xf>
    <xf numFmtId="0" fontId="44" fillId="6" borderId="1" xfId="0" applyFont="1" applyFill="1" applyBorder="1" applyAlignment="1">
      <alignment horizontal="center" vertical="center" wrapText="1"/>
    </xf>
    <xf numFmtId="0" fontId="44" fillId="6" borderId="9" xfId="0" applyFont="1" applyFill="1" applyBorder="1" applyAlignment="1">
      <alignment horizontal="center" vertical="center" wrapText="1"/>
    </xf>
    <xf numFmtId="0" fontId="44" fillId="6" borderId="31" xfId="0" applyFont="1" applyFill="1" applyBorder="1" applyAlignment="1">
      <alignment horizontal="center" vertical="center"/>
    </xf>
    <xf numFmtId="0" fontId="44" fillId="6" borderId="2" xfId="0" applyFont="1" applyFill="1" applyBorder="1" applyAlignment="1">
      <alignment horizontal="center" vertical="center"/>
    </xf>
    <xf numFmtId="0" fontId="44" fillId="6" borderId="29" xfId="0" applyFont="1" applyFill="1" applyBorder="1" applyAlignment="1">
      <alignment horizontal="center" vertical="center"/>
    </xf>
    <xf numFmtId="0" fontId="9" fillId="3" borderId="52" xfId="0" applyFont="1" applyFill="1" applyBorder="1" applyAlignment="1">
      <alignment horizontal="center" vertical="center"/>
    </xf>
    <xf numFmtId="0" fontId="9" fillId="3" borderId="53" xfId="0" applyFont="1" applyFill="1" applyBorder="1" applyAlignment="1">
      <alignment horizontal="center" vertical="center"/>
    </xf>
    <xf numFmtId="0" fontId="6" fillId="6" borderId="43" xfId="0" applyFont="1" applyFill="1" applyBorder="1" applyAlignment="1">
      <alignment horizontal="center" vertical="center"/>
    </xf>
    <xf numFmtId="0" fontId="44" fillId="6" borderId="33" xfId="0" applyFont="1" applyFill="1" applyBorder="1" applyAlignment="1">
      <alignment horizontal="center" vertical="center"/>
    </xf>
    <xf numFmtId="0" fontId="44" fillId="6" borderId="4" xfId="0" applyFont="1" applyFill="1" applyBorder="1" applyAlignment="1">
      <alignment horizontal="center" vertical="center"/>
    </xf>
    <xf numFmtId="0" fontId="6" fillId="0" borderId="0" xfId="0" applyFont="1" applyAlignment="1">
      <alignment horizontal="left"/>
    </xf>
    <xf numFmtId="0" fontId="0" fillId="0" borderId="0" xfId="0" applyAlignment="1">
      <alignment horizontal="left"/>
    </xf>
    <xf numFmtId="0" fontId="6" fillId="0" borderId="1" xfId="0" applyFont="1" applyBorder="1" applyAlignment="1">
      <alignment horizontal="center" vertical="center"/>
    </xf>
    <xf numFmtId="0" fontId="24" fillId="2" borderId="22" xfId="0" applyFont="1" applyFill="1" applyBorder="1" applyAlignment="1">
      <alignment horizontal="center" vertical="center"/>
    </xf>
    <xf numFmtId="0" fontId="24" fillId="2" borderId="9" xfId="0" applyFont="1" applyFill="1" applyBorder="1" applyAlignment="1">
      <alignment horizontal="center" vertical="center"/>
    </xf>
    <xf numFmtId="0" fontId="24" fillId="2" borderId="23" xfId="0" applyFont="1" applyFill="1" applyBorder="1" applyAlignment="1">
      <alignment horizontal="center" vertical="center"/>
    </xf>
    <xf numFmtId="0" fontId="6" fillId="0" borderId="0" xfId="0" applyFont="1" applyAlignment="1">
      <alignment horizontal="center"/>
    </xf>
    <xf numFmtId="0" fontId="9" fillId="0" borderId="1" xfId="0" applyFont="1" applyBorder="1" applyAlignment="1">
      <alignment horizontal="center" vertical="center"/>
    </xf>
    <xf numFmtId="0" fontId="6" fillId="0" borderId="0" xfId="4" applyAlignment="1">
      <alignment horizontal="center" vertical="center"/>
    </xf>
    <xf numFmtId="0" fontId="9" fillId="3" borderId="7" xfId="4" applyFont="1" applyFill="1" applyBorder="1" applyAlignment="1">
      <alignment horizontal="center" vertical="center"/>
    </xf>
    <xf numFmtId="0" fontId="9" fillId="3" borderId="34" xfId="4" applyFont="1" applyFill="1" applyBorder="1" applyAlignment="1">
      <alignment horizontal="center" vertical="center"/>
    </xf>
    <xf numFmtId="0" fontId="9" fillId="3" borderId="27" xfId="4" applyFont="1" applyFill="1" applyBorder="1" applyAlignment="1">
      <alignment horizontal="center" vertical="center"/>
    </xf>
    <xf numFmtId="0" fontId="9" fillId="2" borderId="0" xfId="4" applyFont="1" applyFill="1" applyAlignment="1">
      <alignment horizontal="center" vertical="center" wrapText="1"/>
    </xf>
    <xf numFmtId="0" fontId="9" fillId="2" borderId="0" xfId="4" applyFont="1" applyFill="1" applyAlignment="1">
      <alignment horizontal="center" vertical="center"/>
    </xf>
    <xf numFmtId="0" fontId="39" fillId="3" borderId="7" xfId="5" applyFont="1" applyFill="1" applyBorder="1" applyAlignment="1">
      <alignment horizontal="center" vertical="center"/>
    </xf>
    <xf numFmtId="0" fontId="39" fillId="3" borderId="34" xfId="5" applyFont="1" applyFill="1" applyBorder="1" applyAlignment="1">
      <alignment horizontal="center" vertical="center"/>
    </xf>
    <xf numFmtId="0" fontId="39" fillId="3" borderId="27" xfId="5" applyFont="1" applyFill="1" applyBorder="1" applyAlignment="1">
      <alignment horizontal="center" vertical="center"/>
    </xf>
    <xf numFmtId="0" fontId="6" fillId="0" borderId="17" xfId="4" applyBorder="1" applyAlignment="1">
      <alignment horizontal="center" vertical="center"/>
    </xf>
    <xf numFmtId="0" fontId="6" fillId="0" borderId="18" xfId="4" applyBorder="1" applyAlignment="1">
      <alignment horizontal="center" vertical="center"/>
    </xf>
    <xf numFmtId="0" fontId="6" fillId="0" borderId="19" xfId="4" applyBorder="1" applyAlignment="1">
      <alignment horizontal="center" vertical="center"/>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44" fillId="6" borderId="1" xfId="0" applyFont="1" applyFill="1" applyBorder="1" applyAlignment="1">
      <alignment horizontal="left" vertical="top" wrapText="1"/>
    </xf>
    <xf numFmtId="0" fontId="44" fillId="6" borderId="9" xfId="0" applyFont="1" applyFill="1" applyBorder="1" applyAlignment="1">
      <alignment horizontal="left" vertical="top" wrapText="1"/>
    </xf>
    <xf numFmtId="0" fontId="44" fillId="6" borderId="24" xfId="0" applyFont="1" applyFill="1" applyBorder="1" applyAlignment="1">
      <alignment horizontal="center" vertical="center"/>
    </xf>
    <xf numFmtId="0" fontId="44" fillId="6" borderId="28" xfId="0" applyFont="1" applyFill="1" applyBorder="1" applyAlignment="1">
      <alignment horizontal="center" vertical="center"/>
    </xf>
    <xf numFmtId="0" fontId="44" fillId="6" borderId="30" xfId="0" applyFont="1" applyFill="1" applyBorder="1" applyAlignment="1">
      <alignment horizontal="center" vertical="center"/>
    </xf>
    <xf numFmtId="0" fontId="24" fillId="6" borderId="48" xfId="0" applyFont="1" applyFill="1" applyBorder="1" applyAlignment="1">
      <alignment horizontal="center" vertical="center"/>
    </xf>
    <xf numFmtId="0" fontId="24" fillId="6" borderId="50" xfId="0" applyFont="1" applyFill="1" applyBorder="1" applyAlignment="1">
      <alignment horizontal="center" vertical="center"/>
    </xf>
    <xf numFmtId="0" fontId="24" fillId="6" borderId="51" xfId="0" applyFont="1" applyFill="1" applyBorder="1" applyAlignment="1">
      <alignment horizontal="center" vertical="center"/>
    </xf>
    <xf numFmtId="0" fontId="10" fillId="0" borderId="0" xfId="0" applyFont="1" applyAlignment="1">
      <alignment horizontal="left" wrapText="1"/>
    </xf>
    <xf numFmtId="0" fontId="0" fillId="0" borderId="0" xfId="0"/>
    <xf numFmtId="0" fontId="20" fillId="3" borderId="17" xfId="1" applyFont="1" applyFill="1" applyBorder="1" applyAlignment="1">
      <alignment horizontal="center" vertical="center"/>
    </xf>
    <xf numFmtId="0" fontId="20" fillId="3" borderId="18" xfId="1" applyFont="1" applyFill="1" applyBorder="1" applyAlignment="1">
      <alignment horizontal="center" vertical="center"/>
    </xf>
    <xf numFmtId="0" fontId="20" fillId="3" borderId="19" xfId="1" applyFont="1" applyFill="1" applyBorder="1" applyAlignment="1">
      <alignment horizontal="center" vertical="center"/>
    </xf>
    <xf numFmtId="0" fontId="21" fillId="3" borderId="18" xfId="0" applyFont="1" applyFill="1" applyBorder="1" applyAlignment="1">
      <alignment horizontal="center" vertical="center"/>
    </xf>
    <xf numFmtId="0" fontId="21" fillId="3" borderId="19" xfId="0" applyFont="1" applyFill="1" applyBorder="1" applyAlignment="1">
      <alignment horizontal="center" vertical="center"/>
    </xf>
    <xf numFmtId="0" fontId="21" fillId="3" borderId="20"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21" xfId="0" applyFont="1" applyFill="1" applyBorder="1" applyAlignment="1">
      <alignment horizontal="center" vertical="center"/>
    </xf>
    <xf numFmtId="0" fontId="22" fillId="3" borderId="17" xfId="0" applyFont="1" applyFill="1" applyBorder="1" applyAlignment="1">
      <alignment horizontal="center" vertical="center"/>
    </xf>
    <xf numFmtId="0" fontId="23" fillId="3" borderId="18" xfId="0" applyFont="1" applyFill="1" applyBorder="1" applyAlignment="1">
      <alignment horizontal="center" vertical="center"/>
    </xf>
    <xf numFmtId="0" fontId="23" fillId="3" borderId="19" xfId="0" applyFont="1" applyFill="1" applyBorder="1" applyAlignment="1">
      <alignment horizontal="center" vertical="center"/>
    </xf>
    <xf numFmtId="0" fontId="23" fillId="3" borderId="20" xfId="0" applyFont="1" applyFill="1" applyBorder="1" applyAlignment="1">
      <alignment horizontal="center" vertical="center"/>
    </xf>
    <xf numFmtId="0" fontId="23" fillId="3" borderId="1" xfId="0" applyFont="1" applyFill="1" applyBorder="1" applyAlignment="1">
      <alignment horizontal="center" vertical="center"/>
    </xf>
    <xf numFmtId="0" fontId="23" fillId="3" borderId="21" xfId="0" applyFont="1" applyFill="1" applyBorder="1" applyAlignment="1">
      <alignment horizontal="center" vertical="center"/>
    </xf>
    <xf numFmtId="0" fontId="13" fillId="0" borderId="9" xfId="0" applyFont="1" applyBorder="1" applyAlignment="1">
      <alignment horizontal="center" vertical="center"/>
    </xf>
    <xf numFmtId="0" fontId="0" fillId="0" borderId="9" xfId="0" applyBorder="1" applyAlignment="1">
      <alignment horizontal="center" vertical="center"/>
    </xf>
    <xf numFmtId="0" fontId="9" fillId="0" borderId="14" xfId="1" applyFont="1" applyBorder="1" applyAlignment="1">
      <alignment horizontal="center" vertical="center"/>
    </xf>
    <xf numFmtId="0" fontId="9" fillId="0" borderId="5" xfId="1" applyFont="1" applyBorder="1" applyAlignment="1">
      <alignment horizontal="center" vertical="center"/>
    </xf>
    <xf numFmtId="0" fontId="9" fillId="0" borderId="37" xfId="1" applyFont="1" applyBorder="1" applyAlignment="1">
      <alignment horizontal="center" vertical="center"/>
    </xf>
    <xf numFmtId="0" fontId="6" fillId="0" borderId="14" xfId="1" applyFont="1" applyBorder="1" applyAlignment="1">
      <alignment horizontal="center" vertical="center"/>
    </xf>
    <xf numFmtId="0" fontId="6" fillId="0" borderId="37" xfId="1" applyFont="1" applyBorder="1" applyAlignment="1">
      <alignment horizontal="center" vertical="center"/>
    </xf>
    <xf numFmtId="0" fontId="18" fillId="0" borderId="35" xfId="1" applyFont="1" applyBorder="1" applyAlignment="1">
      <alignment horizontal="center" vertical="center"/>
    </xf>
    <xf numFmtId="0" fontId="18" fillId="0" borderId="39" xfId="1" applyFont="1" applyBorder="1" applyAlignment="1">
      <alignment horizontal="center" vertical="center"/>
    </xf>
    <xf numFmtId="0" fontId="6" fillId="0" borderId="35" xfId="1" applyFont="1" applyBorder="1" applyAlignment="1">
      <alignment horizontal="center" vertical="center"/>
    </xf>
    <xf numFmtId="0" fontId="6" fillId="0" borderId="39" xfId="1" applyFont="1" applyBorder="1" applyAlignment="1">
      <alignment horizontal="center" vertical="center"/>
    </xf>
    <xf numFmtId="0" fontId="13" fillId="0" borderId="1" xfId="0" applyFont="1" applyBorder="1" applyAlignment="1">
      <alignment horizontal="center" vertical="center"/>
    </xf>
    <xf numFmtId="0" fontId="0" fillId="0" borderId="1" xfId="0" applyBorder="1" applyAlignment="1">
      <alignment horizontal="center"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37" xfId="0" applyFont="1" applyBorder="1" applyAlignment="1">
      <alignment horizontal="center" vertical="center"/>
    </xf>
    <xf numFmtId="0" fontId="13" fillId="0" borderId="35" xfId="0" applyFont="1" applyBorder="1" applyAlignment="1">
      <alignment horizontal="center" vertical="center"/>
    </xf>
    <xf numFmtId="0" fontId="13" fillId="0" borderId="40" xfId="0" applyFont="1" applyBorder="1" applyAlignment="1">
      <alignment horizontal="center" vertical="center"/>
    </xf>
    <xf numFmtId="0" fontId="13" fillId="0" borderId="39" xfId="0" applyFont="1" applyBorder="1" applyAlignment="1">
      <alignment horizontal="center" vertical="center"/>
    </xf>
    <xf numFmtId="0" fontId="9" fillId="0" borderId="15" xfId="1" applyFont="1" applyBorder="1" applyAlignment="1">
      <alignment horizontal="center" vertical="center"/>
    </xf>
    <xf numFmtId="0" fontId="9" fillId="3" borderId="17" xfId="1" applyFont="1" applyFill="1" applyBorder="1" applyAlignment="1">
      <alignment horizontal="center"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6" fillId="3" borderId="18" xfId="0" applyFont="1" applyFill="1" applyBorder="1" applyAlignment="1">
      <alignment horizontal="center" vertical="center"/>
    </xf>
    <xf numFmtId="0" fontId="6" fillId="3" borderId="19" xfId="0" applyFont="1" applyFill="1" applyBorder="1" applyAlignment="1">
      <alignment horizontal="center" vertical="center"/>
    </xf>
    <xf numFmtId="0" fontId="9" fillId="0" borderId="1" xfId="1" applyFont="1" applyBorder="1" applyAlignment="1">
      <alignment horizontal="center" vertical="center"/>
    </xf>
    <xf numFmtId="0" fontId="0" fillId="0" borderId="21" xfId="0" applyBorder="1" applyAlignment="1">
      <alignment horizontal="center" vertical="center"/>
    </xf>
    <xf numFmtId="0" fontId="18" fillId="0" borderId="8" xfId="1" applyFont="1" applyBorder="1" applyAlignment="1">
      <alignment horizontal="center" vertical="center" wrapText="1"/>
    </xf>
    <xf numFmtId="0" fontId="18" fillId="0" borderId="26" xfId="0" applyFont="1" applyBorder="1" applyAlignment="1">
      <alignment horizontal="center" vertical="center" wrapText="1"/>
    </xf>
    <xf numFmtId="0" fontId="15" fillId="0" borderId="1" xfId="0" applyFont="1" applyBorder="1" applyAlignment="1">
      <alignment vertical="center" wrapText="1"/>
    </xf>
    <xf numFmtId="0" fontId="18" fillId="0" borderId="9" xfId="1" applyFont="1" applyBorder="1" applyAlignment="1">
      <alignment horizontal="center" vertical="center" wrapText="1"/>
    </xf>
    <xf numFmtId="0" fontId="18" fillId="0" borderId="23" xfId="0" applyFont="1" applyBorder="1" applyAlignment="1">
      <alignment horizontal="center" vertical="center" wrapText="1"/>
    </xf>
    <xf numFmtId="0" fontId="18" fillId="0" borderId="1" xfId="1" applyFont="1" applyBorder="1" applyAlignment="1">
      <alignment horizontal="center" vertical="center" wrapText="1"/>
    </xf>
    <xf numFmtId="0" fontId="18" fillId="0" borderId="21" xfId="0" applyFont="1" applyBorder="1" applyAlignment="1">
      <alignment horizontal="center" vertical="center" wrapText="1"/>
    </xf>
    <xf numFmtId="0" fontId="13" fillId="0" borderId="20" xfId="0" applyFont="1" applyBorder="1" applyAlignment="1">
      <alignment horizontal="center" vertical="center" wrapText="1"/>
    </xf>
    <xf numFmtId="0" fontId="0" fillId="0" borderId="21" xfId="0" applyBorder="1" applyAlignment="1">
      <alignment horizontal="center" vertical="center" wrapText="1"/>
    </xf>
    <xf numFmtId="0" fontId="13" fillId="0" borderId="1" xfId="0" applyFont="1" applyBorder="1" applyAlignment="1">
      <alignment horizontal="center" vertical="center" wrapText="1"/>
    </xf>
    <xf numFmtId="0" fontId="0" fillId="0" borderId="1" xfId="0" applyBorder="1" applyAlignment="1">
      <alignment horizontal="center" vertical="center" wrapText="1"/>
    </xf>
    <xf numFmtId="0" fontId="15" fillId="0" borderId="1" xfId="0" applyFont="1" applyBorder="1" applyAlignment="1">
      <alignment horizontal="left" vertical="center" wrapText="1"/>
    </xf>
    <xf numFmtId="0" fontId="9" fillId="0" borderId="1" xfId="0" applyFont="1" applyBorder="1" applyAlignment="1">
      <alignment horizontal="left" vertical="center" wrapText="1"/>
    </xf>
    <xf numFmtId="0" fontId="24" fillId="0" borderId="1" xfId="0" applyFont="1" applyBorder="1" applyAlignment="1">
      <alignment horizontal="center" vertical="center" wrapText="1"/>
    </xf>
    <xf numFmtId="0" fontId="0" fillId="2" borderId="1" xfId="0"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0" xfId="0" applyFont="1" applyAlignment="1">
      <alignment horizontal="center" vertical="center" wrapText="1"/>
    </xf>
    <xf numFmtId="0" fontId="11" fillId="0" borderId="6" xfId="1" applyBorder="1" applyAlignment="1">
      <alignment horizontal="center" vertical="center"/>
    </xf>
    <xf numFmtId="0" fontId="6" fillId="0" borderId="1" xfId="0" applyFont="1" applyBorder="1" applyAlignment="1">
      <alignment horizontal="center" vertical="center" wrapText="1"/>
    </xf>
    <xf numFmtId="0" fontId="9" fillId="3" borderId="7"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27"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2" xfId="0" applyFont="1" applyBorder="1" applyAlignment="1">
      <alignment horizontal="left" vertical="center" wrapText="1"/>
    </xf>
    <xf numFmtId="0" fontId="9" fillId="0" borderId="8" xfId="0" applyFont="1" applyBorder="1" applyAlignment="1">
      <alignment horizontal="left" vertical="center" wrapText="1"/>
    </xf>
    <xf numFmtId="0" fontId="39" fillId="5" borderId="55" xfId="15" applyFont="1" applyFill="1" applyBorder="1" applyAlignment="1">
      <alignment horizontal="center"/>
    </xf>
    <xf numFmtId="0" fontId="39" fillId="5" borderId="0" xfId="15" applyFont="1" applyFill="1" applyAlignment="1">
      <alignment horizontal="center"/>
    </xf>
    <xf numFmtId="0" fontId="9" fillId="3" borderId="7" xfId="0" applyFont="1" applyFill="1" applyBorder="1" applyAlignment="1">
      <alignment horizontal="center"/>
    </xf>
    <xf numFmtId="0" fontId="9" fillId="3" borderId="34" xfId="0" applyFont="1" applyFill="1" applyBorder="1" applyAlignment="1">
      <alignment horizontal="center"/>
    </xf>
    <xf numFmtId="0" fontId="9" fillId="3" borderId="27" xfId="0" applyFont="1" applyFill="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37" xfId="0" applyBorder="1" applyAlignment="1">
      <alignment horizontal="center" vertical="center"/>
    </xf>
    <xf numFmtId="0" fontId="0" fillId="0" borderId="35" xfId="0" applyBorder="1" applyAlignment="1">
      <alignment horizontal="center" vertical="center"/>
    </xf>
    <xf numFmtId="0" fontId="0" fillId="0" borderId="40" xfId="0" applyBorder="1" applyAlignment="1">
      <alignment horizontal="center" vertical="center"/>
    </xf>
    <xf numFmtId="0" fontId="0" fillId="0" borderId="39" xfId="0" applyBorder="1" applyAlignment="1">
      <alignment horizontal="center" vertical="center"/>
    </xf>
    <xf numFmtId="0" fontId="9" fillId="3" borderId="17" xfId="0" applyFont="1" applyFill="1" applyBorder="1" applyAlignment="1">
      <alignment horizontal="center"/>
    </xf>
    <xf numFmtId="0" fontId="9" fillId="3" borderId="19" xfId="0" applyFont="1" applyFill="1" applyBorder="1" applyAlignment="1">
      <alignment horizontal="center"/>
    </xf>
  </cellXfs>
  <cellStyles count="18">
    <cellStyle name="Normal 2" xfId="1" xr:uid="{00000000-0005-0000-0000-000001000000}"/>
    <cellStyle name="Normal 2 2" xfId="5" xr:uid="{218E9851-0EC8-404C-A7AF-6FDCD4ED3872}"/>
    <cellStyle name="Normal 2 8" xfId="15" xr:uid="{913A508D-CD6A-4237-BFF7-3511D57A4711}"/>
    <cellStyle name="Normal 3" xfId="2" xr:uid="{00000000-0005-0000-0000-000002000000}"/>
    <cellStyle name="Normal 3 2" xfId="14" xr:uid="{205943BE-1421-4E8A-B01F-84569E1F5C1F}"/>
    <cellStyle name="Normal 3 3" xfId="11" xr:uid="{490397A3-999C-43FC-8EB9-549AF00BBC39}"/>
    <cellStyle name="Normal 4" xfId="3" xr:uid="{00000000-0005-0000-0000-000003000000}"/>
    <cellStyle name="Normal 4 2" xfId="17" xr:uid="{29D8A6AA-DF28-45E8-B927-DD5EE09015CF}"/>
    <cellStyle name="Normal 4 3" xfId="16" xr:uid="{8E90CEBE-6C0B-4210-BA94-22B325158F44}"/>
    <cellStyle name="Normal 5" xfId="7" xr:uid="{CB6601A7-2E71-400D-86A4-B1EE565CD379}"/>
    <cellStyle name="標準 2 2" xfId="12" xr:uid="{E6E01849-EF9A-4ABC-842D-EE44FA751B03}"/>
    <cellStyle name="標準 2 2 2" xfId="13" xr:uid="{2A1C80AA-638C-451A-B77B-DE8F59BBA864}"/>
    <cellStyle name="標準_Hitachi_Leopard_rev.0" xfId="10" xr:uid="{CD98E395-8A48-44E8-AD77-D11FC39A09F1}"/>
    <cellStyle name="常规" xfId="0" builtinId="0"/>
    <cellStyle name="常规 2" xfId="4" xr:uid="{BA0BD913-121A-41A9-9D7A-5AE499B947AA}"/>
    <cellStyle name="常规 2 2" xfId="9" xr:uid="{D8842123-5204-408C-A9DA-F061E18A4999}"/>
    <cellStyle name="常规 3" xfId="6" xr:uid="{C15D6098-B4CF-4160-AD62-7EA0692971E0}"/>
    <cellStyle name="常规 3 2" xfId="8" xr:uid="{51DE53BE-F76A-4943-A8F9-F9B47A6B2B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1143991</xdr:colOff>
      <xdr:row>52</xdr:row>
      <xdr:rowOff>34635</xdr:rowOff>
    </xdr:from>
    <xdr:to>
      <xdr:col>12</xdr:col>
      <xdr:colOff>283030</xdr:colOff>
      <xdr:row>81</xdr:row>
      <xdr:rowOff>160716</xdr:rowOff>
    </xdr:to>
    <xdr:pic>
      <xdr:nvPicPr>
        <xdr:cNvPr id="2" name="图片 1">
          <a:extLst>
            <a:ext uri="{FF2B5EF4-FFF2-40B4-BE49-F238E27FC236}">
              <a16:creationId xmlns:a16="http://schemas.microsoft.com/office/drawing/2014/main" id="{6F685AFD-2F91-4F32-AA62-17C0867E8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991" y="10408721"/>
          <a:ext cx="15239010" cy="48613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197223</xdr:colOff>
      <xdr:row>1</xdr:row>
      <xdr:rowOff>26893</xdr:rowOff>
    </xdr:from>
    <xdr:to>
      <xdr:col>7</xdr:col>
      <xdr:colOff>340659</xdr:colOff>
      <xdr:row>7</xdr:row>
      <xdr:rowOff>74662</xdr:rowOff>
    </xdr:to>
    <xdr:pic>
      <xdr:nvPicPr>
        <xdr:cNvPr id="2" name="图片 1">
          <a:extLst>
            <a:ext uri="{FF2B5EF4-FFF2-40B4-BE49-F238E27FC236}">
              <a16:creationId xmlns:a16="http://schemas.microsoft.com/office/drawing/2014/main" id="{9370A8AA-FC4C-5B99-6183-B0462013989E}"/>
            </a:ext>
          </a:extLst>
        </xdr:cNvPr>
        <xdr:cNvPicPr>
          <a:picLocks noChangeAspect="1"/>
        </xdr:cNvPicPr>
      </xdr:nvPicPr>
      <xdr:blipFill>
        <a:blip xmlns:r="http://schemas.openxmlformats.org/officeDocument/2006/relationships" r:embed="rId1"/>
        <a:stretch>
          <a:fillRect/>
        </a:stretch>
      </xdr:blipFill>
      <xdr:spPr>
        <a:xfrm>
          <a:off x="3469341" y="197222"/>
          <a:ext cx="4652683" cy="10787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FA1E-DF79-4C06-B853-B25174494496}">
  <dimension ref="A1:L21"/>
  <sheetViews>
    <sheetView zoomScaleNormal="100" workbookViewId="0">
      <selection activeCell="N19" sqref="N19"/>
    </sheetView>
  </sheetViews>
  <sheetFormatPr defaultRowHeight="12.5"/>
  <cols>
    <col min="1" max="1" width="43.1796875" customWidth="1"/>
    <col min="11" max="11" width="8.90625" customWidth="1"/>
    <col min="12" max="12" width="30.36328125" customWidth="1"/>
  </cols>
  <sheetData>
    <row r="1" spans="1:11" ht="13">
      <c r="A1" s="144" t="s">
        <v>96</v>
      </c>
      <c r="B1" s="321" t="s">
        <v>97</v>
      </c>
      <c r="C1" s="321"/>
      <c r="D1" s="321"/>
      <c r="E1" s="321"/>
      <c r="F1" s="321"/>
      <c r="G1" s="321"/>
      <c r="H1" s="321"/>
      <c r="I1" s="321"/>
      <c r="J1" s="321"/>
      <c r="K1" s="321"/>
    </row>
    <row r="2" spans="1:11" ht="13.25" customHeight="1">
      <c r="A2" s="227" t="s">
        <v>98</v>
      </c>
      <c r="B2" s="315" t="s">
        <v>700</v>
      </c>
      <c r="C2" s="316"/>
      <c r="D2" s="316"/>
      <c r="E2" s="316"/>
      <c r="F2" s="316"/>
      <c r="G2" s="316"/>
      <c r="H2" s="316"/>
      <c r="I2" s="316"/>
      <c r="J2" s="316"/>
      <c r="K2" s="317"/>
    </row>
    <row r="3" spans="1:11" ht="13.25" customHeight="1">
      <c r="A3" s="57" t="s">
        <v>99</v>
      </c>
      <c r="B3" s="315" t="s">
        <v>701</v>
      </c>
      <c r="C3" s="316"/>
      <c r="D3" s="316"/>
      <c r="E3" s="316"/>
      <c r="F3" s="316"/>
      <c r="G3" s="316"/>
      <c r="H3" s="316"/>
      <c r="I3" s="316"/>
      <c r="J3" s="316"/>
      <c r="K3" s="317"/>
    </row>
    <row r="4" spans="1:11" ht="13.25" customHeight="1">
      <c r="A4" s="57" t="s">
        <v>694</v>
      </c>
      <c r="B4" s="315" t="s">
        <v>702</v>
      </c>
      <c r="C4" s="316"/>
      <c r="D4" s="316"/>
      <c r="E4" s="316"/>
      <c r="F4" s="316"/>
      <c r="G4" s="316"/>
      <c r="H4" s="316"/>
      <c r="I4" s="316"/>
      <c r="J4" s="316"/>
      <c r="K4" s="317"/>
    </row>
    <row r="5" spans="1:11" ht="44.4" customHeight="1">
      <c r="A5" s="57" t="s">
        <v>693</v>
      </c>
      <c r="B5" s="330" t="s">
        <v>703</v>
      </c>
      <c r="C5" s="331"/>
      <c r="D5" s="331"/>
      <c r="E5" s="331"/>
      <c r="F5" s="331"/>
      <c r="G5" s="331"/>
      <c r="H5" s="331"/>
      <c r="I5" s="331"/>
      <c r="J5" s="331"/>
      <c r="K5" s="332"/>
    </row>
    <row r="6" spans="1:11" ht="13.25" customHeight="1">
      <c r="A6" s="328" t="s">
        <v>692</v>
      </c>
      <c r="B6" s="330" t="s">
        <v>704</v>
      </c>
      <c r="C6" s="331"/>
      <c r="D6" s="331"/>
      <c r="E6" s="331"/>
      <c r="F6" s="331"/>
      <c r="G6" s="331"/>
      <c r="H6" s="331"/>
      <c r="I6" s="331"/>
      <c r="J6" s="331"/>
      <c r="K6" s="332"/>
    </row>
    <row r="7" spans="1:11" ht="13.25" customHeight="1">
      <c r="A7" s="329"/>
      <c r="B7" s="318" t="s">
        <v>100</v>
      </c>
      <c r="C7" s="319"/>
      <c r="D7" s="319"/>
      <c r="E7" s="319"/>
      <c r="F7" s="319"/>
      <c r="G7" s="319"/>
      <c r="H7" s="319"/>
      <c r="I7" s="319"/>
      <c r="J7" s="319"/>
      <c r="K7" s="320"/>
    </row>
    <row r="8" spans="1:11" ht="13.25" customHeight="1">
      <c r="A8" s="336">
        <v>45170</v>
      </c>
      <c r="B8" s="330" t="s">
        <v>101</v>
      </c>
      <c r="C8" s="331"/>
      <c r="D8" s="331"/>
      <c r="E8" s="331"/>
      <c r="F8" s="331"/>
      <c r="G8" s="331"/>
      <c r="H8" s="331"/>
      <c r="I8" s="331"/>
      <c r="J8" s="331"/>
      <c r="K8" s="332"/>
    </row>
    <row r="9" spans="1:11" ht="13.25" customHeight="1">
      <c r="A9" s="337"/>
      <c r="B9" s="339" t="s">
        <v>102</v>
      </c>
      <c r="C9" s="340"/>
      <c r="D9" s="340"/>
      <c r="E9" s="340"/>
      <c r="F9" s="340"/>
      <c r="G9" s="340"/>
      <c r="H9" s="340"/>
      <c r="I9" s="340"/>
      <c r="J9" s="340"/>
      <c r="K9" s="341"/>
    </row>
    <row r="10" spans="1:11" ht="13.25" customHeight="1">
      <c r="A10" s="227">
        <v>45184</v>
      </c>
      <c r="B10" s="339" t="s">
        <v>103</v>
      </c>
      <c r="C10" s="340"/>
      <c r="D10" s="340"/>
      <c r="E10" s="340"/>
      <c r="F10" s="340"/>
      <c r="G10" s="340"/>
      <c r="H10" s="340"/>
      <c r="I10" s="340"/>
      <c r="J10" s="340"/>
      <c r="K10" s="341"/>
    </row>
    <row r="11" spans="1:11" ht="13.25" customHeight="1">
      <c r="A11" s="228">
        <v>45207</v>
      </c>
      <c r="B11" s="330" t="s">
        <v>104</v>
      </c>
      <c r="C11" s="331"/>
      <c r="D11" s="331"/>
      <c r="E11" s="331"/>
      <c r="F11" s="331"/>
      <c r="G11" s="331"/>
      <c r="H11" s="331"/>
      <c r="I11" s="331"/>
      <c r="J11" s="331"/>
      <c r="K11" s="332"/>
    </row>
    <row r="12" spans="1:11" ht="13.25" customHeight="1">
      <c r="A12" s="336">
        <v>45217</v>
      </c>
      <c r="B12" s="330" t="s">
        <v>105</v>
      </c>
      <c r="C12" s="331"/>
      <c r="D12" s="331"/>
      <c r="E12" s="331"/>
      <c r="F12" s="331"/>
      <c r="G12" s="331"/>
      <c r="H12" s="331"/>
      <c r="I12" s="331"/>
      <c r="J12" s="331"/>
      <c r="K12" s="332"/>
    </row>
    <row r="13" spans="1:11" ht="13.25" customHeight="1">
      <c r="A13" s="338"/>
      <c r="B13" s="318" t="s">
        <v>106</v>
      </c>
      <c r="C13" s="319"/>
      <c r="D13" s="319"/>
      <c r="E13" s="319"/>
      <c r="F13" s="319"/>
      <c r="G13" s="319"/>
      <c r="H13" s="319"/>
      <c r="I13" s="319"/>
      <c r="J13" s="319"/>
      <c r="K13" s="320"/>
    </row>
    <row r="14" spans="1:11" ht="13.25" customHeight="1">
      <c r="A14" s="337"/>
      <c r="B14" s="339" t="s">
        <v>107</v>
      </c>
      <c r="C14" s="340"/>
      <c r="D14" s="340"/>
      <c r="E14" s="340"/>
      <c r="F14" s="340"/>
      <c r="G14" s="340"/>
      <c r="H14" s="340"/>
      <c r="I14" s="340"/>
      <c r="J14" s="340"/>
      <c r="K14" s="341"/>
    </row>
    <row r="15" spans="1:11" ht="72.650000000000006" customHeight="1">
      <c r="A15" s="227">
        <v>45404</v>
      </c>
      <c r="B15" s="325" t="s">
        <v>695</v>
      </c>
      <c r="C15" s="326"/>
      <c r="D15" s="326"/>
      <c r="E15" s="326"/>
      <c r="F15" s="326"/>
      <c r="G15" s="326"/>
      <c r="H15" s="326"/>
      <c r="I15" s="326"/>
      <c r="J15" s="326"/>
      <c r="K15" s="327"/>
    </row>
    <row r="16" spans="1:11" ht="72" customHeight="1">
      <c r="A16" s="227">
        <v>45423</v>
      </c>
      <c r="B16" s="315" t="s">
        <v>696</v>
      </c>
      <c r="C16" s="316"/>
      <c r="D16" s="316"/>
      <c r="E16" s="316"/>
      <c r="F16" s="316"/>
      <c r="G16" s="316"/>
      <c r="H16" s="316"/>
      <c r="I16" s="316"/>
      <c r="J16" s="316"/>
      <c r="K16" s="317"/>
    </row>
    <row r="17" spans="1:12" ht="84" customHeight="1">
      <c r="A17" s="159">
        <v>45496</v>
      </c>
      <c r="B17" s="315" t="s">
        <v>795</v>
      </c>
      <c r="C17" s="316"/>
      <c r="D17" s="316"/>
      <c r="E17" s="316"/>
      <c r="F17" s="316"/>
      <c r="G17" s="316"/>
      <c r="H17" s="316"/>
      <c r="I17" s="316"/>
      <c r="J17" s="316"/>
      <c r="K17" s="317"/>
    </row>
    <row r="18" spans="1:12" ht="37.75" customHeight="1">
      <c r="A18" s="159">
        <v>45560</v>
      </c>
      <c r="B18" s="322" t="s">
        <v>897</v>
      </c>
      <c r="C18" s="323"/>
      <c r="D18" s="323"/>
      <c r="E18" s="323"/>
      <c r="F18" s="323"/>
      <c r="G18" s="323"/>
      <c r="H18" s="323"/>
      <c r="I18" s="323"/>
      <c r="J18" s="323"/>
      <c r="K18" s="324"/>
      <c r="L18" s="9" t="s">
        <v>898</v>
      </c>
    </row>
    <row r="19" spans="1:12" ht="54.65" customHeight="1">
      <c r="A19" s="159">
        <v>45628</v>
      </c>
      <c r="B19" s="322" t="s">
        <v>945</v>
      </c>
      <c r="C19" s="323"/>
      <c r="D19" s="323"/>
      <c r="E19" s="323"/>
      <c r="F19" s="323"/>
      <c r="G19" s="323"/>
      <c r="H19" s="323"/>
      <c r="I19" s="323"/>
      <c r="J19" s="323"/>
      <c r="K19" s="324"/>
    </row>
    <row r="20" spans="1:12" ht="107.5">
      <c r="A20" s="159">
        <v>45649</v>
      </c>
      <c r="B20" s="322" t="s">
        <v>947</v>
      </c>
      <c r="C20" s="323"/>
      <c r="D20" s="323"/>
      <c r="E20" s="323"/>
      <c r="F20" s="323"/>
      <c r="G20" s="323"/>
      <c r="H20" s="323"/>
      <c r="I20" s="323"/>
      <c r="J20" s="323"/>
      <c r="K20" s="324"/>
      <c r="L20" s="299" t="s">
        <v>953</v>
      </c>
    </row>
    <row r="21" spans="1:12" ht="37.5">
      <c r="A21" s="308">
        <v>45677</v>
      </c>
      <c r="B21" s="333" t="s">
        <v>961</v>
      </c>
      <c r="C21" s="334"/>
      <c r="D21" s="334"/>
      <c r="E21" s="334"/>
      <c r="F21" s="334"/>
      <c r="G21" s="334"/>
      <c r="H21" s="334"/>
      <c r="I21" s="334"/>
      <c r="J21" s="334"/>
      <c r="K21" s="335"/>
      <c r="L21" s="306" t="s">
        <v>955</v>
      </c>
    </row>
  </sheetData>
  <mergeCells count="24">
    <mergeCell ref="B21:K21"/>
    <mergeCell ref="A8:A9"/>
    <mergeCell ref="A12:A14"/>
    <mergeCell ref="B13:K13"/>
    <mergeCell ref="B8:K8"/>
    <mergeCell ref="B9:K9"/>
    <mergeCell ref="B10:K10"/>
    <mergeCell ref="B11:K11"/>
    <mergeCell ref="B12:K12"/>
    <mergeCell ref="B14:K14"/>
    <mergeCell ref="B20:K20"/>
    <mergeCell ref="B19:K19"/>
    <mergeCell ref="A6:A7"/>
    <mergeCell ref="B3:K3"/>
    <mergeCell ref="B4:K4"/>
    <mergeCell ref="B5:K5"/>
    <mergeCell ref="B6:K6"/>
    <mergeCell ref="B2:K2"/>
    <mergeCell ref="B7:K7"/>
    <mergeCell ref="B1:K1"/>
    <mergeCell ref="B18:K18"/>
    <mergeCell ref="B17:K17"/>
    <mergeCell ref="B16:K16"/>
    <mergeCell ref="B15:K15"/>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62"/>
  <sheetViews>
    <sheetView showGridLines="0" tabSelected="1" zoomScaleNormal="100" workbookViewId="0">
      <selection activeCell="A4" sqref="A4"/>
    </sheetView>
  </sheetViews>
  <sheetFormatPr defaultRowHeight="12.5"/>
  <cols>
    <col min="1" max="1" width="32.08984375" style="26" customWidth="1"/>
    <col min="2" max="2" width="7.453125" customWidth="1"/>
    <col min="3" max="3" width="10.90625" customWidth="1"/>
    <col min="4" max="4" width="129.08984375" customWidth="1"/>
    <col min="11" max="11" width="8.90625" customWidth="1"/>
  </cols>
  <sheetData>
    <row r="1" spans="1:4" ht="15.5">
      <c r="A1" s="209" t="s">
        <v>689</v>
      </c>
      <c r="B1" s="136"/>
      <c r="C1" s="136"/>
      <c r="D1" s="136"/>
    </row>
    <row r="2" spans="1:4" ht="15.65" customHeight="1" thickBot="1">
      <c r="A2" s="342" t="s">
        <v>0</v>
      </c>
      <c r="B2" s="342"/>
    </row>
    <row r="3" spans="1:4" ht="28">
      <c r="A3" s="69" t="s">
        <v>1</v>
      </c>
      <c r="B3" s="70" t="s">
        <v>2</v>
      </c>
      <c r="C3" s="71" t="s">
        <v>3</v>
      </c>
      <c r="D3" s="29" t="s">
        <v>4</v>
      </c>
    </row>
    <row r="4" spans="1:4" ht="14">
      <c r="A4" s="54" t="s">
        <v>978</v>
      </c>
      <c r="B4" s="2">
        <v>0</v>
      </c>
      <c r="C4" s="2">
        <v>4</v>
      </c>
      <c r="D4" s="48"/>
    </row>
    <row r="5" spans="1:4" ht="14">
      <c r="A5" s="54" t="s">
        <v>5</v>
      </c>
      <c r="B5" s="5">
        <v>4</v>
      </c>
      <c r="C5" s="5">
        <v>4</v>
      </c>
      <c r="D5" s="48"/>
    </row>
    <row r="6" spans="1:4" ht="14">
      <c r="A6" s="54" t="s">
        <v>6</v>
      </c>
      <c r="B6" s="2">
        <v>8</v>
      </c>
      <c r="C6" s="5">
        <v>4</v>
      </c>
      <c r="D6" s="48"/>
    </row>
    <row r="7" spans="1:4" ht="14">
      <c r="A7" s="54" t="s">
        <v>7</v>
      </c>
      <c r="B7" s="5" t="s">
        <v>8</v>
      </c>
      <c r="C7" s="5">
        <v>2</v>
      </c>
      <c r="D7" s="48"/>
    </row>
    <row r="8" spans="1:4" ht="14">
      <c r="A8" s="54" t="s">
        <v>9</v>
      </c>
      <c r="B8" s="5">
        <v>10</v>
      </c>
      <c r="C8" s="5">
        <v>2</v>
      </c>
      <c r="D8" s="48"/>
    </row>
    <row r="9" spans="1:4" ht="14">
      <c r="A9" s="54" t="s">
        <v>10</v>
      </c>
      <c r="B9" s="5">
        <v>14</v>
      </c>
      <c r="C9" s="5">
        <v>2</v>
      </c>
      <c r="D9" s="48"/>
    </row>
    <row r="10" spans="1:4" ht="14">
      <c r="A10" s="54" t="s">
        <v>963</v>
      </c>
      <c r="B10" s="5">
        <v>18</v>
      </c>
      <c r="C10" s="5">
        <v>1</v>
      </c>
      <c r="D10" s="48"/>
    </row>
    <row r="11" spans="1:4" ht="14">
      <c r="A11" s="54" t="s">
        <v>11</v>
      </c>
      <c r="B11" s="5" t="s">
        <v>12</v>
      </c>
      <c r="C11" s="5">
        <v>1</v>
      </c>
      <c r="D11" s="48"/>
    </row>
    <row r="12" spans="1:4" ht="14">
      <c r="A12" s="54" t="s">
        <v>13</v>
      </c>
      <c r="B12" s="5">
        <v>20</v>
      </c>
      <c r="C12" s="2">
        <v>4</v>
      </c>
      <c r="D12" s="49"/>
    </row>
    <row r="13" spans="1:4" ht="14">
      <c r="A13" s="54" t="s">
        <v>14</v>
      </c>
      <c r="B13" s="5">
        <v>24</v>
      </c>
      <c r="C13" s="5">
        <v>4</v>
      </c>
      <c r="D13" s="48"/>
    </row>
    <row r="14" spans="1:4" ht="14">
      <c r="A14" s="54" t="s">
        <v>15</v>
      </c>
      <c r="B14" s="5">
        <v>28</v>
      </c>
      <c r="C14" s="5">
        <v>4</v>
      </c>
      <c r="D14" s="48"/>
    </row>
    <row r="15" spans="1:4" ht="14">
      <c r="A15" s="54" t="s">
        <v>1010</v>
      </c>
      <c r="B15" s="5" t="s">
        <v>16</v>
      </c>
      <c r="C15" s="5">
        <v>4</v>
      </c>
      <c r="D15" s="49"/>
    </row>
    <row r="16" spans="1:4" ht="14">
      <c r="A16" s="54" t="s">
        <v>17</v>
      </c>
      <c r="B16" s="5">
        <v>30</v>
      </c>
      <c r="C16" s="5">
        <v>4</v>
      </c>
      <c r="D16" s="49"/>
    </row>
    <row r="17" spans="1:4" ht="14">
      <c r="A17" s="54" t="s">
        <v>18</v>
      </c>
      <c r="B17" s="5">
        <v>34</v>
      </c>
      <c r="C17" s="5">
        <v>4</v>
      </c>
      <c r="D17" s="49"/>
    </row>
    <row r="18" spans="1:4" ht="14">
      <c r="A18" s="54" t="s">
        <v>19</v>
      </c>
      <c r="B18" s="5">
        <v>38</v>
      </c>
      <c r="C18" s="5">
        <v>1</v>
      </c>
      <c r="D18" s="48"/>
    </row>
    <row r="19" spans="1:4" ht="14">
      <c r="A19" s="295" t="s">
        <v>20</v>
      </c>
      <c r="B19" s="110" t="s">
        <v>21</v>
      </c>
      <c r="C19" s="110">
        <v>4</v>
      </c>
      <c r="D19" s="111" t="s">
        <v>22</v>
      </c>
    </row>
    <row r="20" spans="1:4" ht="14">
      <c r="A20" s="54" t="s">
        <v>23</v>
      </c>
      <c r="B20" s="5">
        <v>40</v>
      </c>
      <c r="C20" s="5">
        <v>1</v>
      </c>
      <c r="D20" s="48"/>
    </row>
    <row r="21" spans="1:4" ht="14">
      <c r="A21" s="54" t="s">
        <v>24</v>
      </c>
      <c r="B21" s="5">
        <v>44</v>
      </c>
      <c r="C21" s="5" t="s">
        <v>25</v>
      </c>
      <c r="D21" s="49" t="s">
        <v>26</v>
      </c>
    </row>
    <row r="22" spans="1:4" ht="14">
      <c r="A22" s="54" t="s">
        <v>976</v>
      </c>
      <c r="B22" s="5">
        <v>48</v>
      </c>
      <c r="C22" s="5" t="s">
        <v>1013</v>
      </c>
      <c r="D22" s="48"/>
    </row>
    <row r="23" spans="1:4" ht="14">
      <c r="A23" s="118" t="s">
        <v>28</v>
      </c>
      <c r="B23" s="110" t="s">
        <v>29</v>
      </c>
      <c r="C23" s="110" t="s">
        <v>27</v>
      </c>
      <c r="D23" s="111" t="s">
        <v>22</v>
      </c>
    </row>
    <row r="24" spans="1:4" ht="14">
      <c r="A24" s="54" t="s">
        <v>30</v>
      </c>
      <c r="B24" s="5">
        <v>50</v>
      </c>
      <c r="C24" s="5">
        <v>1</v>
      </c>
      <c r="D24" s="48"/>
    </row>
    <row r="25" spans="1:4" ht="14">
      <c r="A25" s="54" t="s">
        <v>31</v>
      </c>
      <c r="B25" s="6">
        <v>54</v>
      </c>
      <c r="C25" s="5">
        <v>1</v>
      </c>
      <c r="D25" s="48"/>
    </row>
    <row r="26" spans="1:4" ht="14">
      <c r="A26" s="54" t="s">
        <v>32</v>
      </c>
      <c r="B26" s="6">
        <v>58</v>
      </c>
      <c r="C26" s="5">
        <v>4</v>
      </c>
      <c r="D26" s="49" t="s">
        <v>33</v>
      </c>
    </row>
    <row r="27" spans="1:4" ht="14">
      <c r="A27" s="54" t="s">
        <v>975</v>
      </c>
      <c r="B27" s="6" t="s">
        <v>34</v>
      </c>
      <c r="C27" s="5">
        <v>4</v>
      </c>
      <c r="D27" s="49" t="s">
        <v>33</v>
      </c>
    </row>
    <row r="28" spans="1:4" ht="14">
      <c r="A28" s="54" t="s">
        <v>984</v>
      </c>
      <c r="B28" s="6">
        <v>60</v>
      </c>
      <c r="C28" s="5" t="s">
        <v>27</v>
      </c>
      <c r="D28" s="48"/>
    </row>
    <row r="29" spans="1:4" ht="14">
      <c r="A29" s="54" t="s">
        <v>994</v>
      </c>
      <c r="B29" s="6">
        <v>64</v>
      </c>
      <c r="C29" s="5" t="s">
        <v>27</v>
      </c>
      <c r="D29" s="48"/>
    </row>
    <row r="30" spans="1:4" ht="14">
      <c r="A30" s="54" t="s">
        <v>35</v>
      </c>
      <c r="B30" s="6">
        <v>68</v>
      </c>
      <c r="C30" s="5" t="s">
        <v>27</v>
      </c>
      <c r="D30" s="48"/>
    </row>
    <row r="31" spans="1:4" ht="14">
      <c r="A31" s="54" t="s">
        <v>36</v>
      </c>
      <c r="B31" s="6" t="s">
        <v>37</v>
      </c>
      <c r="C31" s="6" t="s">
        <v>27</v>
      </c>
      <c r="D31" s="48"/>
    </row>
    <row r="32" spans="1:4" ht="14">
      <c r="A32" s="54" t="s">
        <v>1008</v>
      </c>
      <c r="B32" s="6">
        <v>70</v>
      </c>
      <c r="C32" s="6" t="s">
        <v>27</v>
      </c>
      <c r="D32" s="48"/>
    </row>
    <row r="33" spans="1:4" ht="14">
      <c r="A33" s="54" t="s">
        <v>1001</v>
      </c>
      <c r="B33" s="6">
        <v>74</v>
      </c>
      <c r="C33" s="6" t="s">
        <v>27</v>
      </c>
      <c r="D33" s="48"/>
    </row>
    <row r="34" spans="1:4" ht="14">
      <c r="A34" s="118" t="s">
        <v>38</v>
      </c>
      <c r="B34" s="112">
        <v>78</v>
      </c>
      <c r="C34" s="112" t="s">
        <v>27</v>
      </c>
      <c r="D34" s="111" t="s">
        <v>22</v>
      </c>
    </row>
    <row r="35" spans="1:4" ht="14">
      <c r="A35" s="118" t="s">
        <v>39</v>
      </c>
      <c r="B35" s="112" t="s">
        <v>40</v>
      </c>
      <c r="C35" s="112">
        <v>2</v>
      </c>
      <c r="D35" s="111" t="s">
        <v>22</v>
      </c>
    </row>
    <row r="36" spans="1:4" ht="14">
      <c r="A36" s="118" t="s">
        <v>41</v>
      </c>
      <c r="B36" s="112">
        <v>80</v>
      </c>
      <c r="C36" s="112">
        <v>2</v>
      </c>
      <c r="D36" s="111" t="s">
        <v>42</v>
      </c>
    </row>
    <row r="37" spans="1:4" ht="14">
      <c r="A37" s="118" t="s">
        <v>43</v>
      </c>
      <c r="B37" s="112">
        <v>84</v>
      </c>
      <c r="C37" s="112">
        <v>1</v>
      </c>
      <c r="D37" s="111" t="s">
        <v>44</v>
      </c>
    </row>
    <row r="38" spans="1:4" ht="14">
      <c r="A38" s="118" t="s">
        <v>45</v>
      </c>
      <c r="B38" s="112">
        <v>88</v>
      </c>
      <c r="C38" s="112">
        <v>1</v>
      </c>
      <c r="D38" s="111" t="s">
        <v>22</v>
      </c>
    </row>
    <row r="39" spans="1:4" ht="14">
      <c r="A39" s="118" t="s">
        <v>46</v>
      </c>
      <c r="B39" s="112" t="s">
        <v>47</v>
      </c>
      <c r="C39" s="112">
        <v>1</v>
      </c>
      <c r="D39" s="111" t="s">
        <v>22</v>
      </c>
    </row>
    <row r="40" spans="1:4" ht="14">
      <c r="A40" s="118" t="s">
        <v>48</v>
      </c>
      <c r="B40" s="112">
        <v>90</v>
      </c>
      <c r="C40" s="112">
        <v>1</v>
      </c>
      <c r="D40" s="111" t="s">
        <v>49</v>
      </c>
    </row>
    <row r="41" spans="1:4" ht="14">
      <c r="A41" s="54" t="s">
        <v>973</v>
      </c>
      <c r="B41" s="6">
        <v>94</v>
      </c>
      <c r="C41" s="5">
        <v>1</v>
      </c>
      <c r="D41" s="49" t="s">
        <v>50</v>
      </c>
    </row>
    <row r="42" spans="1:4" ht="14">
      <c r="A42" s="54" t="s">
        <v>974</v>
      </c>
      <c r="B42" s="6">
        <v>98</v>
      </c>
      <c r="C42" s="5">
        <v>1</v>
      </c>
      <c r="D42" s="49" t="s">
        <v>50</v>
      </c>
    </row>
    <row r="43" spans="1:4">
      <c r="A43" s="54" t="s">
        <v>51</v>
      </c>
      <c r="B43" s="53" t="s">
        <v>52</v>
      </c>
      <c r="C43" s="53" t="s">
        <v>27</v>
      </c>
      <c r="D43" s="48"/>
    </row>
    <row r="44" spans="1:4">
      <c r="A44" s="54" t="s">
        <v>53</v>
      </c>
      <c r="B44" s="53" t="s">
        <v>54</v>
      </c>
      <c r="C44" s="53">
        <v>1</v>
      </c>
      <c r="D44" s="48" t="s">
        <v>55</v>
      </c>
    </row>
    <row r="45" spans="1:4">
      <c r="A45" s="54" t="s">
        <v>56</v>
      </c>
      <c r="B45" s="53" t="s">
        <v>57</v>
      </c>
      <c r="C45" s="53" t="s">
        <v>27</v>
      </c>
      <c r="D45" s="48"/>
    </row>
    <row r="46" spans="1:4">
      <c r="A46" s="54" t="s">
        <v>58</v>
      </c>
      <c r="B46" s="53" t="s">
        <v>59</v>
      </c>
      <c r="C46" s="53" t="s">
        <v>27</v>
      </c>
      <c r="D46" s="48"/>
    </row>
    <row r="47" spans="1:4">
      <c r="A47" s="54" t="s">
        <v>60</v>
      </c>
      <c r="B47" s="53" t="s">
        <v>61</v>
      </c>
      <c r="C47" s="53">
        <v>4</v>
      </c>
      <c r="D47" s="49" t="s">
        <v>62</v>
      </c>
    </row>
    <row r="48" spans="1:4">
      <c r="A48" s="54" t="s">
        <v>63</v>
      </c>
      <c r="B48" s="53" t="s">
        <v>64</v>
      </c>
      <c r="C48" s="53">
        <v>4</v>
      </c>
      <c r="D48" s="49" t="s">
        <v>65</v>
      </c>
    </row>
    <row r="49" spans="1:10">
      <c r="A49" s="118" t="s">
        <v>66</v>
      </c>
      <c r="B49" s="113" t="s">
        <v>67</v>
      </c>
      <c r="C49" s="113">
        <v>1</v>
      </c>
      <c r="D49" s="111" t="s">
        <v>68</v>
      </c>
    </row>
    <row r="50" spans="1:10">
      <c r="A50" s="118" t="s">
        <v>69</v>
      </c>
      <c r="B50" s="113" t="s">
        <v>70</v>
      </c>
      <c r="C50" s="113" t="s">
        <v>71</v>
      </c>
      <c r="D50" s="111" t="s">
        <v>22</v>
      </c>
      <c r="E50" s="11"/>
      <c r="F50" s="11"/>
      <c r="G50" s="11"/>
      <c r="H50" s="11"/>
      <c r="I50" s="11"/>
      <c r="J50" s="11"/>
    </row>
    <row r="51" spans="1:10">
      <c r="A51" s="55" t="s">
        <v>72</v>
      </c>
      <c r="B51" s="53" t="s">
        <v>73</v>
      </c>
      <c r="C51" s="53">
        <v>4</v>
      </c>
      <c r="D51" s="343" t="s">
        <v>74</v>
      </c>
    </row>
    <row r="52" spans="1:10">
      <c r="A52" s="55" t="s">
        <v>75</v>
      </c>
      <c r="B52" s="53" t="s">
        <v>76</v>
      </c>
      <c r="C52" s="53">
        <v>4</v>
      </c>
      <c r="D52" s="343"/>
    </row>
    <row r="53" spans="1:10">
      <c r="A53" s="55" t="s">
        <v>77</v>
      </c>
      <c r="B53" s="53" t="s">
        <v>78</v>
      </c>
      <c r="C53" s="53">
        <v>4</v>
      </c>
      <c r="D53" s="343"/>
    </row>
    <row r="54" spans="1:10">
      <c r="A54" s="295" t="s">
        <v>79</v>
      </c>
      <c r="B54" s="113" t="s">
        <v>80</v>
      </c>
      <c r="C54" s="113" t="s">
        <v>81</v>
      </c>
      <c r="D54" s="111" t="s">
        <v>82</v>
      </c>
    </row>
    <row r="55" spans="1:10">
      <c r="A55" s="295" t="s">
        <v>83</v>
      </c>
      <c r="B55" s="113" t="s">
        <v>84</v>
      </c>
      <c r="C55" s="113" t="s">
        <v>81</v>
      </c>
      <c r="D55" s="111" t="s">
        <v>82</v>
      </c>
    </row>
    <row r="56" spans="1:10">
      <c r="A56" s="295" t="s">
        <v>85</v>
      </c>
      <c r="B56" s="113" t="s">
        <v>86</v>
      </c>
      <c r="C56" s="113" t="s">
        <v>81</v>
      </c>
      <c r="D56" s="111" t="s">
        <v>82</v>
      </c>
    </row>
    <row r="57" spans="1:10">
      <c r="A57" s="295" t="s">
        <v>87</v>
      </c>
      <c r="B57" s="113" t="s">
        <v>88</v>
      </c>
      <c r="C57" s="113" t="s">
        <v>89</v>
      </c>
      <c r="D57" s="111" t="s">
        <v>82</v>
      </c>
    </row>
    <row r="58" spans="1:10">
      <c r="A58" s="186" t="s">
        <v>90</v>
      </c>
      <c r="B58" s="198" t="s">
        <v>91</v>
      </c>
      <c r="C58" s="198" t="s">
        <v>92</v>
      </c>
      <c r="D58" s="199" t="s">
        <v>93</v>
      </c>
    </row>
    <row r="59" spans="1:10">
      <c r="A59" s="186" t="s">
        <v>796</v>
      </c>
      <c r="B59" s="232" t="s">
        <v>746</v>
      </c>
      <c r="C59" s="198">
        <v>4</v>
      </c>
      <c r="D59" s="344" t="s">
        <v>94</v>
      </c>
    </row>
    <row r="60" spans="1:10" ht="13" thickBot="1">
      <c r="A60" s="187" t="s">
        <v>797</v>
      </c>
      <c r="B60" s="233" t="s">
        <v>747</v>
      </c>
      <c r="C60" s="197">
        <v>4</v>
      </c>
      <c r="D60" s="345"/>
    </row>
    <row r="62" spans="1:10">
      <c r="A62" s="152" t="s">
        <v>95</v>
      </c>
      <c r="B62" s="152"/>
      <c r="C62" s="152"/>
      <c r="D62" s="152"/>
    </row>
  </sheetData>
  <mergeCells count="3">
    <mergeCell ref="A2:B2"/>
    <mergeCell ref="D51:D53"/>
    <mergeCell ref="D59:D60"/>
  </mergeCells>
  <phoneticPr fontId="7" type="noConversion"/>
  <pageMargins left="0.25" right="0.25" top="0.43" bottom="0.28000000000000003" header="0.3" footer="0.15"/>
  <pageSetup paperSize="9" scale="91"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5489-6FEE-4661-80FF-2FDE40035760}">
  <dimension ref="A1:E53"/>
  <sheetViews>
    <sheetView topLeftCell="A54" zoomScale="70" zoomScaleNormal="70" workbookViewId="0">
      <selection activeCell="E88" sqref="E88"/>
    </sheetView>
  </sheetViews>
  <sheetFormatPr defaultColWidth="8.90625" defaultRowHeight="12.5"/>
  <cols>
    <col min="1" max="1" width="31.54296875" style="26" customWidth="1"/>
    <col min="2" max="2" width="9.90625" style="26" bestFit="1" customWidth="1"/>
    <col min="3" max="3" width="40.54296875" style="26" customWidth="1"/>
    <col min="4" max="4" width="44.453125" style="26" customWidth="1"/>
    <col min="5" max="5" width="46" style="26" bestFit="1" customWidth="1"/>
    <col min="6" max="16384" width="8.90625" style="26"/>
  </cols>
  <sheetData>
    <row r="1" spans="1:5" ht="13">
      <c r="A1" s="352" t="s">
        <v>962</v>
      </c>
      <c r="B1" s="353"/>
      <c r="C1" s="353"/>
      <c r="D1" s="354"/>
      <c r="E1"/>
    </row>
    <row r="2" spans="1:5" ht="13">
      <c r="A2" s="235" t="s">
        <v>748</v>
      </c>
      <c r="B2" s="236" t="s">
        <v>143</v>
      </c>
      <c r="C2" s="31" t="s">
        <v>144</v>
      </c>
      <c r="D2" s="33" t="s">
        <v>517</v>
      </c>
      <c r="E2"/>
    </row>
    <row r="3" spans="1:5" ht="64">
      <c r="A3" s="99">
        <v>0</v>
      </c>
      <c r="B3" s="100">
        <v>0</v>
      </c>
      <c r="C3" s="191" t="s">
        <v>749</v>
      </c>
      <c r="D3" s="237" t="s">
        <v>750</v>
      </c>
      <c r="E3"/>
    </row>
    <row r="4" spans="1:5">
      <c r="A4"/>
      <c r="B4"/>
      <c r="C4"/>
      <c r="D4"/>
      <c r="E4"/>
    </row>
    <row r="5" spans="1:5">
      <c r="A5"/>
      <c r="B5"/>
      <c r="C5"/>
      <c r="D5"/>
      <c r="E5"/>
    </row>
    <row r="6" spans="1:5">
      <c r="A6"/>
      <c r="B6"/>
      <c r="C6"/>
      <c r="D6"/>
      <c r="E6"/>
    </row>
    <row r="7" spans="1:5">
      <c r="A7"/>
      <c r="B7"/>
      <c r="C7"/>
      <c r="D7"/>
      <c r="E7"/>
    </row>
    <row r="8" spans="1:5">
      <c r="A8"/>
      <c r="B8"/>
      <c r="C8"/>
      <c r="D8"/>
      <c r="E8"/>
    </row>
    <row r="9" spans="1:5" ht="13.5">
      <c r="A9" s="192" t="s">
        <v>145</v>
      </c>
      <c r="B9" s="192" t="s">
        <v>146</v>
      </c>
      <c r="C9" s="192" t="s">
        <v>751</v>
      </c>
      <c r="D9" s="192" t="s">
        <v>752</v>
      </c>
      <c r="E9"/>
    </row>
    <row r="10" spans="1:5" ht="13.5">
      <c r="A10" s="192" t="s">
        <v>753</v>
      </c>
      <c r="B10" s="193" t="s">
        <v>147</v>
      </c>
      <c r="C10" s="193" t="s">
        <v>147</v>
      </c>
      <c r="D10" s="193" t="s">
        <v>147</v>
      </c>
      <c r="E10"/>
    </row>
    <row r="11" spans="1:5" ht="13.5">
      <c r="A11" s="192" t="s">
        <v>754</v>
      </c>
      <c r="B11" s="193" t="s">
        <v>147</v>
      </c>
      <c r="C11" s="193" t="s">
        <v>147</v>
      </c>
      <c r="D11" s="193" t="s">
        <v>147</v>
      </c>
      <c r="E11"/>
    </row>
    <row r="12" spans="1:5" ht="13.5">
      <c r="A12" s="192" t="s">
        <v>755</v>
      </c>
      <c r="B12" s="57" t="s">
        <v>148</v>
      </c>
      <c r="C12" s="193" t="s">
        <v>147</v>
      </c>
      <c r="D12" s="193" t="s">
        <v>147</v>
      </c>
      <c r="E12"/>
    </row>
    <row r="13" spans="1:5" ht="13.5">
      <c r="A13" s="192" t="s">
        <v>149</v>
      </c>
      <c r="B13" s="57" t="s">
        <v>148</v>
      </c>
      <c r="C13" s="193" t="s">
        <v>147</v>
      </c>
      <c r="D13" s="193" t="s">
        <v>147</v>
      </c>
      <c r="E13"/>
    </row>
    <row r="14" spans="1:5" ht="13.5">
      <c r="A14" s="192" t="s">
        <v>756</v>
      </c>
      <c r="B14" s="57" t="s">
        <v>147</v>
      </c>
      <c r="C14" s="57" t="s">
        <v>147</v>
      </c>
      <c r="D14" s="57" t="s">
        <v>147</v>
      </c>
      <c r="E14"/>
    </row>
    <row r="15" spans="1:5" ht="13.5">
      <c r="A15" s="192" t="s">
        <v>150</v>
      </c>
      <c r="B15" s="57" t="s">
        <v>147</v>
      </c>
      <c r="C15" s="57" t="s">
        <v>147</v>
      </c>
      <c r="D15" s="57" t="s">
        <v>147</v>
      </c>
      <c r="E15"/>
    </row>
    <row r="16" spans="1:5" ht="13.5">
      <c r="A16" s="192" t="s">
        <v>151</v>
      </c>
      <c r="B16" s="57" t="s">
        <v>147</v>
      </c>
      <c r="C16" s="57" t="s">
        <v>147</v>
      </c>
      <c r="D16" s="57" t="s">
        <v>147</v>
      </c>
      <c r="E16"/>
    </row>
    <row r="17" spans="1:5" ht="13.5">
      <c r="A17" s="192" t="s">
        <v>152</v>
      </c>
      <c r="B17" s="57" t="s">
        <v>147</v>
      </c>
      <c r="C17" s="57" t="s">
        <v>147</v>
      </c>
      <c r="D17" s="57" t="s">
        <v>147</v>
      </c>
      <c r="E17"/>
    </row>
    <row r="18" spans="1:5" ht="26.5">
      <c r="A18" s="192" t="s">
        <v>153</v>
      </c>
      <c r="B18" s="193" t="s">
        <v>148</v>
      </c>
      <c r="C18" s="193" t="s">
        <v>154</v>
      </c>
      <c r="D18" s="193" t="s">
        <v>757</v>
      </c>
      <c r="E18"/>
    </row>
    <row r="19" spans="1:5" ht="26.5">
      <c r="A19" s="192" t="s">
        <v>155</v>
      </c>
      <c r="B19" s="193" t="s">
        <v>148</v>
      </c>
      <c r="C19" s="193" t="s">
        <v>156</v>
      </c>
      <c r="D19" s="193" t="s">
        <v>757</v>
      </c>
      <c r="E19"/>
    </row>
    <row r="20" spans="1:5" ht="26.5">
      <c r="A20" s="192" t="s">
        <v>157</v>
      </c>
      <c r="B20" s="193" t="s">
        <v>148</v>
      </c>
      <c r="C20" s="193" t="s">
        <v>156</v>
      </c>
      <c r="D20" s="193" t="s">
        <v>757</v>
      </c>
      <c r="E20"/>
    </row>
    <row r="21" spans="1:5" ht="26.5">
      <c r="A21" s="192" t="s">
        <v>158</v>
      </c>
      <c r="B21" s="193" t="s">
        <v>148</v>
      </c>
      <c r="C21" s="193" t="s">
        <v>156</v>
      </c>
      <c r="D21" s="193" t="s">
        <v>757</v>
      </c>
      <c r="E21"/>
    </row>
    <row r="22" spans="1:5" ht="13.5">
      <c r="A22" s="192" t="s">
        <v>758</v>
      </c>
      <c r="B22" s="193" t="s">
        <v>148</v>
      </c>
      <c r="C22" s="193" t="s">
        <v>148</v>
      </c>
      <c r="D22" s="193" t="s">
        <v>148</v>
      </c>
      <c r="E22"/>
    </row>
    <row r="23" spans="1:5" ht="13.5">
      <c r="A23" s="265" t="s">
        <v>159</v>
      </c>
      <c r="B23" s="266" t="s">
        <v>147</v>
      </c>
      <c r="C23" s="266" t="s">
        <v>160</v>
      </c>
      <c r="D23" s="267" t="s">
        <v>160</v>
      </c>
      <c r="E23"/>
    </row>
    <row r="24" spans="1:5" ht="13.5">
      <c r="A24" s="192" t="s">
        <v>161</v>
      </c>
      <c r="B24" s="193" t="s">
        <v>148</v>
      </c>
      <c r="C24" s="193" t="s">
        <v>148</v>
      </c>
      <c r="D24" s="192" t="s">
        <v>162</v>
      </c>
      <c r="E24"/>
    </row>
    <row r="25" spans="1:5" ht="13.5">
      <c r="A25" s="238" t="s">
        <v>759</v>
      </c>
      <c r="B25" s="194" t="s">
        <v>148</v>
      </c>
      <c r="C25" s="194" t="s">
        <v>148</v>
      </c>
      <c r="D25" s="194" t="s">
        <v>148</v>
      </c>
      <c r="E25"/>
    </row>
    <row r="26" spans="1:5" ht="13.5">
      <c r="A26" s="238" t="s">
        <v>163</v>
      </c>
      <c r="B26" s="194" t="s">
        <v>148</v>
      </c>
      <c r="C26" s="194" t="s">
        <v>148</v>
      </c>
      <c r="D26" s="195" t="s">
        <v>148</v>
      </c>
      <c r="E26"/>
    </row>
    <row r="27" spans="1:5" ht="13.5">
      <c r="A27" s="192" t="s">
        <v>164</v>
      </c>
      <c r="B27" s="193" t="s">
        <v>148</v>
      </c>
      <c r="C27" s="193" t="s">
        <v>148</v>
      </c>
      <c r="D27" s="193" t="s">
        <v>148</v>
      </c>
      <c r="E27"/>
    </row>
    <row r="28" spans="1:5" ht="13.5">
      <c r="A28" s="192" t="s">
        <v>165</v>
      </c>
      <c r="B28" s="193" t="s">
        <v>148</v>
      </c>
      <c r="C28" s="193" t="s">
        <v>148</v>
      </c>
      <c r="D28" s="192" t="s">
        <v>166</v>
      </c>
      <c r="E28"/>
    </row>
    <row r="29" spans="1:5" ht="13.5">
      <c r="A29" s="192" t="s">
        <v>167</v>
      </c>
      <c r="B29" s="193" t="s">
        <v>148</v>
      </c>
      <c r="C29" s="193" t="s">
        <v>148</v>
      </c>
      <c r="D29" s="192" t="s">
        <v>166</v>
      </c>
      <c r="E29"/>
    </row>
    <row r="30" spans="1:5" ht="13.5">
      <c r="A30" s="192" t="s">
        <v>168</v>
      </c>
      <c r="B30" s="193" t="s">
        <v>148</v>
      </c>
      <c r="C30" s="193" t="s">
        <v>148</v>
      </c>
      <c r="D30" s="192" t="s">
        <v>166</v>
      </c>
      <c r="E30"/>
    </row>
    <row r="31" spans="1:5" ht="13.5">
      <c r="A31" s="192" t="s">
        <v>169</v>
      </c>
      <c r="B31" s="193" t="s">
        <v>148</v>
      </c>
      <c r="C31" s="193" t="s">
        <v>148</v>
      </c>
      <c r="D31" s="193" t="s">
        <v>148</v>
      </c>
      <c r="E31"/>
    </row>
    <row r="32" spans="1:5" ht="13.5">
      <c r="A32" s="192" t="s">
        <v>760</v>
      </c>
      <c r="B32" s="196" t="s">
        <v>147</v>
      </c>
      <c r="C32" s="192" t="s">
        <v>148</v>
      </c>
      <c r="D32" s="192" t="s">
        <v>148</v>
      </c>
      <c r="E32"/>
    </row>
    <row r="33" spans="1:5" ht="13.5">
      <c r="A33" s="268" t="s">
        <v>761</v>
      </c>
      <c r="B33" s="269" t="s">
        <v>762</v>
      </c>
      <c r="C33" s="269" t="s">
        <v>762</v>
      </c>
      <c r="D33" s="268" t="s">
        <v>762</v>
      </c>
      <c r="E33"/>
    </row>
    <row r="34" spans="1:5">
      <c r="A34" s="232" t="s">
        <v>763</v>
      </c>
      <c r="B34" s="270" t="s">
        <v>798</v>
      </c>
      <c r="C34" s="270" t="s">
        <v>147</v>
      </c>
      <c r="D34" s="270" t="s">
        <v>147</v>
      </c>
      <c r="E34"/>
    </row>
    <row r="35" spans="1:5" ht="13.5">
      <c r="A35" s="271" t="s">
        <v>799</v>
      </c>
      <c r="B35" s="270" t="s">
        <v>798</v>
      </c>
      <c r="C35" s="270" t="s">
        <v>147</v>
      </c>
      <c r="D35" s="270" t="s">
        <v>147</v>
      </c>
      <c r="E35"/>
    </row>
    <row r="36" spans="1:5">
      <c r="A36"/>
      <c r="B36"/>
      <c r="C36"/>
      <c r="D36"/>
      <c r="E36"/>
    </row>
    <row r="37" spans="1:5">
      <c r="A37"/>
      <c r="B37"/>
      <c r="C37"/>
      <c r="D37"/>
      <c r="E37"/>
    </row>
    <row r="38" spans="1:5" ht="14">
      <c r="A38" s="355" t="s">
        <v>764</v>
      </c>
      <c r="B38" s="356"/>
      <c r="C38" s="356"/>
      <c r="D38" s="356"/>
      <c r="E38" s="357"/>
    </row>
    <row r="39" spans="1:5" ht="13">
      <c r="A39" s="239" t="s">
        <v>765</v>
      </c>
      <c r="B39" s="239" t="s">
        <v>766</v>
      </c>
      <c r="C39" s="240" t="s">
        <v>767</v>
      </c>
      <c r="D39" s="241" t="s">
        <v>768</v>
      </c>
      <c r="E39" s="242" t="s">
        <v>769</v>
      </c>
    </row>
    <row r="40" spans="1:5">
      <c r="A40" s="243">
        <v>0</v>
      </c>
      <c r="B40" s="243">
        <v>0</v>
      </c>
      <c r="C40" s="244" t="s">
        <v>770</v>
      </c>
      <c r="D40" s="244" t="s">
        <v>771</v>
      </c>
      <c r="E40" s="244" t="s">
        <v>772</v>
      </c>
    </row>
    <row r="41" spans="1:5" ht="14">
      <c r="A41" s="243">
        <v>2</v>
      </c>
      <c r="B41" s="243">
        <v>2</v>
      </c>
      <c r="C41" s="244" t="s">
        <v>773</v>
      </c>
      <c r="D41" s="244" t="s">
        <v>774</v>
      </c>
      <c r="E41" s="245" t="s">
        <v>775</v>
      </c>
    </row>
    <row r="42" spans="1:5" ht="14">
      <c r="A42" s="243">
        <v>6</v>
      </c>
      <c r="B42" s="243">
        <v>6</v>
      </c>
      <c r="C42" s="244" t="s">
        <v>776</v>
      </c>
      <c r="D42" s="244" t="s">
        <v>777</v>
      </c>
      <c r="E42" s="245" t="s">
        <v>778</v>
      </c>
    </row>
    <row r="43" spans="1:5" ht="13.25" customHeight="1">
      <c r="A43" s="243">
        <v>7</v>
      </c>
      <c r="B43" s="243">
        <v>7</v>
      </c>
      <c r="C43" s="246" t="s">
        <v>779</v>
      </c>
      <c r="D43" s="244" t="s">
        <v>777</v>
      </c>
      <c r="E43" s="247" t="s">
        <v>780</v>
      </c>
    </row>
    <row r="44" spans="1:5" ht="13.25" customHeight="1">
      <c r="A44"/>
      <c r="B44"/>
      <c r="C44"/>
      <c r="D44"/>
      <c r="E44"/>
    </row>
    <row r="45" spans="1:5" ht="13.25" customHeight="1">
      <c r="A45" s="355" t="s">
        <v>781</v>
      </c>
      <c r="B45" s="356"/>
      <c r="C45" s="356"/>
      <c r="D45" s="357"/>
      <c r="E45"/>
    </row>
    <row r="46" spans="1:5" ht="13.25" customHeight="1">
      <c r="A46" s="239" t="s">
        <v>765</v>
      </c>
      <c r="B46" s="239" t="s">
        <v>766</v>
      </c>
      <c r="C46" s="248" t="s">
        <v>782</v>
      </c>
      <c r="D46" s="248" t="s">
        <v>769</v>
      </c>
      <c r="E46"/>
    </row>
    <row r="47" spans="1:5">
      <c r="A47" s="346">
        <v>0</v>
      </c>
      <c r="B47" s="346">
        <v>0</v>
      </c>
      <c r="C47" s="349" t="s">
        <v>783</v>
      </c>
      <c r="D47" s="244" t="s">
        <v>784</v>
      </c>
      <c r="E47"/>
    </row>
    <row r="48" spans="1:5">
      <c r="A48" s="347"/>
      <c r="B48" s="347"/>
      <c r="C48" s="350"/>
      <c r="D48" s="244" t="s">
        <v>785</v>
      </c>
      <c r="E48"/>
    </row>
    <row r="49" spans="1:5">
      <c r="A49" s="347"/>
      <c r="B49" s="347"/>
      <c r="C49" s="350"/>
      <c r="D49" s="244" t="s">
        <v>786</v>
      </c>
      <c r="E49"/>
    </row>
    <row r="50" spans="1:5">
      <c r="A50" s="348"/>
      <c r="B50" s="348"/>
      <c r="C50" s="351"/>
      <c r="D50" s="244" t="s">
        <v>787</v>
      </c>
      <c r="E50"/>
    </row>
    <row r="51" spans="1:5">
      <c r="A51"/>
      <c r="B51"/>
      <c r="C51"/>
      <c r="D51"/>
      <c r="E51"/>
    </row>
    <row r="52" spans="1:5">
      <c r="A52"/>
      <c r="B52"/>
      <c r="C52"/>
      <c r="D52"/>
      <c r="E52"/>
    </row>
    <row r="53" spans="1:5">
      <c r="A53"/>
      <c r="B53"/>
      <c r="C53"/>
      <c r="D53"/>
      <c r="E53"/>
    </row>
  </sheetData>
  <mergeCells count="6">
    <mergeCell ref="A47:A50"/>
    <mergeCell ref="B47:B50"/>
    <mergeCell ref="C47:C50"/>
    <mergeCell ref="A1:D1"/>
    <mergeCell ref="A38:E38"/>
    <mergeCell ref="A45:D45"/>
  </mergeCells>
  <phoneticPr fontId="2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A80"/>
  <sheetViews>
    <sheetView showGridLines="0" topLeftCell="A18" zoomScaleNormal="100" workbookViewId="0">
      <selection activeCell="M8" sqref="M8"/>
    </sheetView>
  </sheetViews>
  <sheetFormatPr defaultColWidth="9.08984375" defaultRowHeight="12.5"/>
  <cols>
    <col min="1" max="1" width="6.453125" style="26" customWidth="1"/>
    <col min="2" max="2" width="33.90625" style="26" bestFit="1" customWidth="1"/>
    <col min="3" max="3" width="11.6328125" style="26" customWidth="1"/>
    <col min="4" max="4" width="10.6328125" style="26" customWidth="1"/>
    <col min="5" max="5" width="20" style="26" customWidth="1"/>
    <col min="6" max="6" width="2.6328125" style="26" customWidth="1"/>
    <col min="7" max="7" width="6.453125" style="26" customWidth="1"/>
    <col min="8" max="8" width="33.08984375" style="26" customWidth="1"/>
    <col min="9" max="9" width="11.6328125" style="26" customWidth="1"/>
    <col min="10" max="10" width="20.36328125" style="26" customWidth="1"/>
    <col min="11" max="11" width="2.453125" customWidth="1"/>
    <col min="12" max="12" width="6.54296875" style="26" customWidth="1"/>
    <col min="13" max="13" width="24.36328125" style="26" customWidth="1"/>
    <col min="14" max="14" width="11.6328125" style="26" customWidth="1"/>
    <col min="15" max="15" width="17" style="26" customWidth="1"/>
    <col min="16" max="16" width="2.54296875" style="26" customWidth="1"/>
    <col min="17" max="17" width="7.08984375" style="26" customWidth="1"/>
    <col min="18" max="18" width="25.36328125" style="26" bestFit="1" customWidth="1"/>
    <col min="19" max="20" width="10.6328125" style="26" customWidth="1"/>
    <col min="21" max="21" width="17.6328125" style="26" customWidth="1"/>
    <col min="22" max="22" width="2.54296875" customWidth="1"/>
    <col min="23" max="23" width="6.54296875" customWidth="1"/>
    <col min="24" max="24" width="27.6328125" customWidth="1"/>
    <col min="25" max="25" width="61.36328125" customWidth="1"/>
    <col min="26" max="26" width="9.54296875" style="26" customWidth="1"/>
  </cols>
  <sheetData>
    <row r="1" spans="1:27" s="3" customFormat="1" ht="13">
      <c r="A1" s="358" t="s">
        <v>170</v>
      </c>
      <c r="B1" s="359"/>
      <c r="C1" s="359"/>
      <c r="D1" s="359"/>
      <c r="E1" s="360"/>
      <c r="F1" s="36"/>
      <c r="G1" s="358" t="s">
        <v>1017</v>
      </c>
      <c r="H1" s="359"/>
      <c r="I1" s="359"/>
      <c r="J1" s="360"/>
      <c r="K1" s="4"/>
      <c r="L1" s="358" t="s">
        <v>171</v>
      </c>
      <c r="M1" s="359"/>
      <c r="N1" s="363"/>
      <c r="O1" s="360"/>
      <c r="P1" s="36"/>
      <c r="Q1" s="364" t="s">
        <v>172</v>
      </c>
      <c r="R1" s="365"/>
      <c r="S1" s="365"/>
      <c r="T1" s="365"/>
      <c r="U1" s="366"/>
      <c r="V1" s="45"/>
      <c r="W1" s="380" t="s">
        <v>173</v>
      </c>
      <c r="X1" s="381"/>
      <c r="Y1" s="381"/>
      <c r="Z1" s="381"/>
      <c r="AA1" s="381"/>
    </row>
    <row r="2" spans="1:27" s="3" customFormat="1" ht="13">
      <c r="A2" s="32" t="s">
        <v>2</v>
      </c>
      <c r="B2" s="31" t="s">
        <v>144</v>
      </c>
      <c r="C2" s="31" t="s">
        <v>174</v>
      </c>
      <c r="D2" s="31" t="s">
        <v>175</v>
      </c>
      <c r="E2" s="33" t="s">
        <v>4</v>
      </c>
      <c r="F2" s="36"/>
      <c r="G2" s="32" t="s">
        <v>2</v>
      </c>
      <c r="H2" s="31" t="s">
        <v>144</v>
      </c>
      <c r="I2" s="31" t="s">
        <v>174</v>
      </c>
      <c r="J2" s="33" t="s">
        <v>4</v>
      </c>
      <c r="K2" s="4"/>
      <c r="L2" s="32" t="s">
        <v>2</v>
      </c>
      <c r="M2" s="31" t="s">
        <v>144</v>
      </c>
      <c r="N2" s="121" t="s">
        <v>174</v>
      </c>
      <c r="O2" s="33" t="s">
        <v>4</v>
      </c>
      <c r="P2" s="36"/>
      <c r="Q2" s="32" t="s">
        <v>2</v>
      </c>
      <c r="R2" s="31" t="s">
        <v>144</v>
      </c>
      <c r="S2" s="121" t="s">
        <v>174</v>
      </c>
      <c r="T2" s="121" t="s">
        <v>176</v>
      </c>
      <c r="U2" s="33" t="s">
        <v>4</v>
      </c>
      <c r="V2" s="4"/>
      <c r="W2" s="32" t="s">
        <v>2</v>
      </c>
      <c r="X2" s="31" t="s">
        <v>177</v>
      </c>
      <c r="Y2" s="31" t="s">
        <v>178</v>
      </c>
      <c r="Z2" s="31" t="s">
        <v>174</v>
      </c>
      <c r="AA2" s="158" t="s">
        <v>4</v>
      </c>
    </row>
    <row r="3" spans="1:27" s="3" customFormat="1" ht="12.75" customHeight="1">
      <c r="A3" s="55">
        <v>0</v>
      </c>
      <c r="B3" s="1" t="s">
        <v>179</v>
      </c>
      <c r="C3" s="1" t="s">
        <v>180</v>
      </c>
      <c r="D3" s="1" t="s">
        <v>181</v>
      </c>
      <c r="E3" s="27"/>
      <c r="F3" s="35"/>
      <c r="G3" s="153">
        <v>0</v>
      </c>
      <c r="H3" s="1" t="s">
        <v>179</v>
      </c>
      <c r="I3" s="1" t="s">
        <v>180</v>
      </c>
      <c r="J3" s="27"/>
      <c r="K3" s="12"/>
      <c r="L3" s="55">
        <v>0</v>
      </c>
      <c r="M3" s="181" t="s">
        <v>182</v>
      </c>
      <c r="N3" s="123" t="s">
        <v>183</v>
      </c>
      <c r="O3" s="39"/>
      <c r="P3" s="59"/>
      <c r="Q3" s="55">
        <v>0</v>
      </c>
      <c r="R3" s="63" t="s">
        <v>184</v>
      </c>
      <c r="S3" s="151" t="s">
        <v>185</v>
      </c>
      <c r="T3" s="151" t="s">
        <v>186</v>
      </c>
      <c r="U3" s="44"/>
      <c r="V3" s="9"/>
      <c r="W3" s="373">
        <v>0</v>
      </c>
      <c r="X3" s="375" t="s">
        <v>187</v>
      </c>
      <c r="Y3" s="361" t="s">
        <v>188</v>
      </c>
      <c r="Z3" s="377" t="s">
        <v>189</v>
      </c>
      <c r="AA3" s="382" t="s">
        <v>190</v>
      </c>
    </row>
    <row r="4" spans="1:27" s="3" customFormat="1">
      <c r="A4" s="55">
        <v>4</v>
      </c>
      <c r="B4" s="1" t="s">
        <v>191</v>
      </c>
      <c r="C4" s="1" t="s">
        <v>192</v>
      </c>
      <c r="D4" s="1" t="s">
        <v>181</v>
      </c>
      <c r="E4" s="27"/>
      <c r="F4" s="35"/>
      <c r="G4" s="153">
        <v>2</v>
      </c>
      <c r="H4" s="1" t="s">
        <v>191</v>
      </c>
      <c r="I4" s="1" t="s">
        <v>192</v>
      </c>
      <c r="J4" s="27"/>
      <c r="K4" s="12"/>
      <c r="L4" s="55">
        <f>L3+1</f>
        <v>1</v>
      </c>
      <c r="M4" s="181" t="s">
        <v>982</v>
      </c>
      <c r="N4" s="123" t="s">
        <v>193</v>
      </c>
      <c r="O4" s="39"/>
      <c r="P4" s="59"/>
      <c r="Q4" s="55">
        <v>4</v>
      </c>
      <c r="R4" s="63" t="s">
        <v>194</v>
      </c>
      <c r="S4" s="151" t="s">
        <v>195</v>
      </c>
      <c r="T4" s="151" t="s">
        <v>186</v>
      </c>
      <c r="U4" s="44"/>
      <c r="V4" s="9"/>
      <c r="W4" s="373"/>
      <c r="X4" s="375"/>
      <c r="Y4" s="361"/>
      <c r="Z4" s="378"/>
      <c r="AA4" s="383"/>
    </row>
    <row r="5" spans="1:27" s="3" customFormat="1">
      <c r="A5" s="55">
        <v>8</v>
      </c>
      <c r="B5" s="1" t="s">
        <v>196</v>
      </c>
      <c r="C5" s="1" t="s">
        <v>197</v>
      </c>
      <c r="D5" s="1" t="s">
        <v>181</v>
      </c>
      <c r="E5" s="27"/>
      <c r="F5" s="35"/>
      <c r="G5" s="153">
        <v>4</v>
      </c>
      <c r="H5" s="1" t="s">
        <v>196</v>
      </c>
      <c r="I5" s="1" t="s">
        <v>197</v>
      </c>
      <c r="J5" s="27"/>
      <c r="K5" s="12"/>
      <c r="L5" s="55">
        <f>L4+1</f>
        <v>2</v>
      </c>
      <c r="M5" s="181" t="s">
        <v>198</v>
      </c>
      <c r="N5" s="123" t="s">
        <v>199</v>
      </c>
      <c r="O5" s="39"/>
      <c r="P5" s="59"/>
      <c r="Q5" s="55">
        <v>8</v>
      </c>
      <c r="R5" s="63" t="s">
        <v>200</v>
      </c>
      <c r="S5" s="151" t="s">
        <v>201</v>
      </c>
      <c r="T5" s="151" t="s">
        <v>186</v>
      </c>
      <c r="U5" s="44"/>
      <c r="V5" s="9"/>
      <c r="W5" s="373"/>
      <c r="X5" s="375"/>
      <c r="Y5" s="361"/>
      <c r="Z5" s="378"/>
      <c r="AA5" s="383"/>
    </row>
    <row r="6" spans="1:27" s="3" customFormat="1">
      <c r="A6" s="55">
        <v>12</v>
      </c>
      <c r="B6" s="1" t="s">
        <v>202</v>
      </c>
      <c r="C6" s="1" t="s">
        <v>203</v>
      </c>
      <c r="D6" s="1" t="s">
        <v>181</v>
      </c>
      <c r="E6" s="27"/>
      <c r="F6" s="35"/>
      <c r="G6" s="153">
        <v>6</v>
      </c>
      <c r="H6" s="1" t="s">
        <v>202</v>
      </c>
      <c r="I6" s="1" t="s">
        <v>203</v>
      </c>
      <c r="J6" s="27"/>
      <c r="K6" s="12"/>
      <c r="L6" s="55">
        <f>L5+1</f>
        <v>3</v>
      </c>
      <c r="M6" s="181" t="s">
        <v>204</v>
      </c>
      <c r="N6" s="123" t="s">
        <v>205</v>
      </c>
      <c r="O6" s="39"/>
      <c r="P6" s="59"/>
      <c r="Q6" s="55">
        <v>12</v>
      </c>
      <c r="R6" s="63" t="s">
        <v>206</v>
      </c>
      <c r="S6" s="151" t="s">
        <v>207</v>
      </c>
      <c r="T6" s="151" t="s">
        <v>186</v>
      </c>
      <c r="U6" s="44"/>
      <c r="V6" s="9"/>
      <c r="W6" s="373"/>
      <c r="X6" s="375"/>
      <c r="Y6" s="361"/>
      <c r="Z6" s="378"/>
      <c r="AA6" s="383"/>
    </row>
    <row r="7" spans="1:27" s="3" customFormat="1">
      <c r="A7" s="55">
        <v>16</v>
      </c>
      <c r="B7" s="1" t="s">
        <v>208</v>
      </c>
      <c r="C7" s="1" t="s">
        <v>209</v>
      </c>
      <c r="D7" s="1" t="s">
        <v>181</v>
      </c>
      <c r="E7" s="27"/>
      <c r="F7" s="35"/>
      <c r="G7" s="153">
        <v>8</v>
      </c>
      <c r="H7" s="1" t="s">
        <v>208</v>
      </c>
      <c r="I7" s="1" t="s">
        <v>209</v>
      </c>
      <c r="J7" s="27"/>
      <c r="K7" s="12"/>
      <c r="L7" s="55">
        <f>L6+1</f>
        <v>4</v>
      </c>
      <c r="M7" s="181" t="s">
        <v>210</v>
      </c>
      <c r="N7" s="123" t="s">
        <v>211</v>
      </c>
      <c r="O7" s="39"/>
      <c r="P7" s="59"/>
      <c r="Q7" s="55">
        <v>16</v>
      </c>
      <c r="R7" s="63" t="s">
        <v>212</v>
      </c>
      <c r="S7" s="151" t="s">
        <v>213</v>
      </c>
      <c r="T7" s="151" t="s">
        <v>186</v>
      </c>
      <c r="U7" s="44"/>
      <c r="V7" s="9"/>
      <c r="W7" s="373"/>
      <c r="X7" s="375"/>
      <c r="Y7" s="361"/>
      <c r="Z7" s="378"/>
      <c r="AA7" s="383"/>
    </row>
    <row r="8" spans="1:27" s="3" customFormat="1">
      <c r="A8" s="55">
        <v>20</v>
      </c>
      <c r="B8" s="1" t="s">
        <v>214</v>
      </c>
      <c r="C8" s="1" t="s">
        <v>215</v>
      </c>
      <c r="D8" s="1" t="s">
        <v>181</v>
      </c>
      <c r="E8" s="27"/>
      <c r="F8" s="35"/>
      <c r="G8" s="153">
        <v>10</v>
      </c>
      <c r="H8" s="1" t="s">
        <v>214</v>
      </c>
      <c r="I8" s="1" t="s">
        <v>215</v>
      </c>
      <c r="J8" s="27"/>
      <c r="K8" s="12"/>
      <c r="L8" s="55">
        <f t="shared" ref="L8:L25" si="0">L7+1</f>
        <v>5</v>
      </c>
      <c r="M8" s="181" t="s">
        <v>216</v>
      </c>
      <c r="N8" s="123" t="s">
        <v>217</v>
      </c>
      <c r="O8" s="39"/>
      <c r="P8" s="59"/>
      <c r="Q8" s="55">
        <v>20</v>
      </c>
      <c r="R8" s="63" t="s">
        <v>218</v>
      </c>
      <c r="S8" s="151" t="s">
        <v>219</v>
      </c>
      <c r="T8" s="151" t="s">
        <v>186</v>
      </c>
      <c r="U8" s="44"/>
      <c r="V8" s="9"/>
      <c r="W8" s="373"/>
      <c r="X8" s="375"/>
      <c r="Y8" s="361"/>
      <c r="Z8" s="378"/>
      <c r="AA8" s="383"/>
    </row>
    <row r="9" spans="1:27" s="3" customFormat="1" ht="37.5">
      <c r="A9" s="55">
        <v>24</v>
      </c>
      <c r="B9" s="1" t="s">
        <v>220</v>
      </c>
      <c r="C9" s="1" t="s">
        <v>221</v>
      </c>
      <c r="D9" s="1" t="s">
        <v>181</v>
      </c>
      <c r="E9" s="107"/>
      <c r="F9" s="35"/>
      <c r="G9" s="153">
        <v>12</v>
      </c>
      <c r="H9" s="1" t="s">
        <v>220</v>
      </c>
      <c r="I9" s="1" t="s">
        <v>221</v>
      </c>
      <c r="J9" s="107"/>
      <c r="K9" s="12"/>
      <c r="L9" s="55">
        <f t="shared" si="0"/>
        <v>6</v>
      </c>
      <c r="M9" s="181" t="s">
        <v>222</v>
      </c>
      <c r="N9" s="123" t="s">
        <v>223</v>
      </c>
      <c r="O9" s="39"/>
      <c r="P9" s="59"/>
      <c r="Q9" s="273">
        <v>24</v>
      </c>
      <c r="R9" s="164" t="s">
        <v>224</v>
      </c>
      <c r="S9" s="170" t="s">
        <v>225</v>
      </c>
      <c r="T9" s="176" t="s">
        <v>186</v>
      </c>
      <c r="U9" s="177" t="s">
        <v>226</v>
      </c>
      <c r="V9" s="19"/>
      <c r="W9" s="373"/>
      <c r="X9" s="375"/>
      <c r="Y9" s="361"/>
      <c r="Z9" s="378"/>
      <c r="AA9" s="383"/>
    </row>
    <row r="10" spans="1:27" s="3" customFormat="1" ht="37.5">
      <c r="A10" s="312">
        <v>28</v>
      </c>
      <c r="B10" s="313" t="s">
        <v>227</v>
      </c>
      <c r="C10" s="313" t="s">
        <v>228</v>
      </c>
      <c r="D10" s="313" t="s">
        <v>181</v>
      </c>
      <c r="E10" s="314"/>
      <c r="F10" s="35"/>
      <c r="G10" s="153">
        <v>14</v>
      </c>
      <c r="H10" s="1" t="s">
        <v>227</v>
      </c>
      <c r="I10" s="1" t="s">
        <v>228</v>
      </c>
      <c r="J10" s="27"/>
      <c r="K10" s="12"/>
      <c r="L10" s="55">
        <f t="shared" si="0"/>
        <v>7</v>
      </c>
      <c r="M10" s="181" t="s">
        <v>229</v>
      </c>
      <c r="N10" s="123" t="s">
        <v>230</v>
      </c>
      <c r="O10" s="39"/>
      <c r="P10" s="59"/>
      <c r="Q10" s="273">
        <v>28</v>
      </c>
      <c r="R10" s="164" t="s">
        <v>231</v>
      </c>
      <c r="S10" s="170" t="s">
        <v>232</v>
      </c>
      <c r="T10" s="176" t="s">
        <v>186</v>
      </c>
      <c r="U10" s="177" t="s">
        <v>233</v>
      </c>
      <c r="V10" s="20"/>
      <c r="W10" s="373"/>
      <c r="X10" s="375"/>
      <c r="Y10" s="361"/>
      <c r="Z10" s="378"/>
      <c r="AA10" s="383"/>
    </row>
    <row r="11" spans="1:27" s="3" customFormat="1" ht="37.5">
      <c r="A11" s="55">
        <v>32</v>
      </c>
      <c r="B11" s="1" t="s">
        <v>234</v>
      </c>
      <c r="C11" s="1" t="s">
        <v>235</v>
      </c>
      <c r="D11" s="1" t="s">
        <v>181</v>
      </c>
      <c r="E11" s="27"/>
      <c r="F11" s="35"/>
      <c r="G11" s="153">
        <v>16</v>
      </c>
      <c r="H11" s="1" t="s">
        <v>234</v>
      </c>
      <c r="I11" s="1" t="s">
        <v>235</v>
      </c>
      <c r="J11" s="27"/>
      <c r="K11" s="12"/>
      <c r="L11" s="55">
        <f t="shared" si="0"/>
        <v>8</v>
      </c>
      <c r="M11" s="181" t="s">
        <v>236</v>
      </c>
      <c r="N11" s="123" t="s">
        <v>237</v>
      </c>
      <c r="O11" s="39"/>
      <c r="P11" s="59"/>
      <c r="Q11" s="273">
        <v>32</v>
      </c>
      <c r="R11" s="164" t="s">
        <v>238</v>
      </c>
      <c r="S11" s="170" t="s">
        <v>239</v>
      </c>
      <c r="T11" s="176" t="s">
        <v>186</v>
      </c>
      <c r="U11" s="177" t="s">
        <v>240</v>
      </c>
      <c r="V11" s="20"/>
      <c r="W11" s="373"/>
      <c r="X11" s="375"/>
      <c r="Y11" s="361"/>
      <c r="Z11" s="378"/>
      <c r="AA11" s="383"/>
    </row>
    <row r="12" spans="1:27" s="3" customFormat="1" ht="15.5">
      <c r="A12" s="55">
        <v>36</v>
      </c>
      <c r="B12" s="1" t="s">
        <v>241</v>
      </c>
      <c r="C12" s="1" t="s">
        <v>242</v>
      </c>
      <c r="D12" s="1" t="s">
        <v>181</v>
      </c>
      <c r="E12" s="27"/>
      <c r="F12" s="35"/>
      <c r="G12" s="153">
        <v>18</v>
      </c>
      <c r="H12" s="1" t="s">
        <v>241</v>
      </c>
      <c r="I12" s="1" t="s">
        <v>242</v>
      </c>
      <c r="J12" s="27"/>
      <c r="K12" s="12"/>
      <c r="L12" s="55">
        <f>L11+1</f>
        <v>9</v>
      </c>
      <c r="M12" s="181" t="s">
        <v>243</v>
      </c>
      <c r="N12" s="123" t="s">
        <v>244</v>
      </c>
      <c r="O12" s="39"/>
      <c r="P12" s="59"/>
      <c r="Q12" s="273">
        <v>36</v>
      </c>
      <c r="R12" s="164" t="s">
        <v>245</v>
      </c>
      <c r="S12" s="170" t="s">
        <v>225</v>
      </c>
      <c r="T12" s="176" t="s">
        <v>186</v>
      </c>
      <c r="U12" s="177" t="s">
        <v>190</v>
      </c>
      <c r="V12" s="51"/>
      <c r="W12" s="373"/>
      <c r="X12" s="375"/>
      <c r="Y12" s="361"/>
      <c r="Z12" s="378"/>
      <c r="AA12" s="383"/>
    </row>
    <row r="13" spans="1:27" s="3" customFormat="1" ht="37.5">
      <c r="A13" s="153">
        <v>40</v>
      </c>
      <c r="B13" s="1" t="s">
        <v>979</v>
      </c>
      <c r="C13" s="1" t="s">
        <v>247</v>
      </c>
      <c r="D13" s="1" t="s">
        <v>181</v>
      </c>
      <c r="E13" s="155" t="s">
        <v>248</v>
      </c>
      <c r="F13" s="35"/>
      <c r="G13" s="153">
        <v>20</v>
      </c>
      <c r="H13" s="1" t="s">
        <v>246</v>
      </c>
      <c r="I13" s="1" t="s">
        <v>247</v>
      </c>
      <c r="J13" s="155" t="s">
        <v>248</v>
      </c>
      <c r="K13" s="12"/>
      <c r="L13" s="55">
        <f>L12+1</f>
        <v>10</v>
      </c>
      <c r="M13" s="181" t="s">
        <v>249</v>
      </c>
      <c r="N13" s="123" t="s">
        <v>250</v>
      </c>
      <c r="O13" s="39"/>
      <c r="P13" s="59"/>
      <c r="Q13" s="273">
        <v>40</v>
      </c>
      <c r="R13" s="178" t="s">
        <v>251</v>
      </c>
      <c r="S13" s="179"/>
      <c r="T13" s="179"/>
      <c r="U13" s="180" t="s">
        <v>252</v>
      </c>
      <c r="V13" s="20"/>
      <c r="W13" s="373"/>
      <c r="X13" s="375"/>
      <c r="Y13" s="361"/>
      <c r="Z13" s="378"/>
      <c r="AA13" s="383"/>
    </row>
    <row r="14" spans="1:27" s="3" customFormat="1" ht="15.5">
      <c r="A14" s="161">
        <v>44</v>
      </c>
      <c r="B14" s="164" t="s">
        <v>253</v>
      </c>
      <c r="C14" s="164" t="s">
        <v>254</v>
      </c>
      <c r="D14" s="162" t="s">
        <v>181</v>
      </c>
      <c r="E14" s="165" t="s">
        <v>255</v>
      </c>
      <c r="F14" s="35"/>
      <c r="G14" s="161">
        <v>22</v>
      </c>
      <c r="H14" s="164" t="s">
        <v>253</v>
      </c>
      <c r="I14" s="164" t="s">
        <v>254</v>
      </c>
      <c r="J14" s="165" t="s">
        <v>255</v>
      </c>
      <c r="K14" s="12"/>
      <c r="L14" s="55">
        <f>L13+1</f>
        <v>11</v>
      </c>
      <c r="M14" s="181" t="s">
        <v>256</v>
      </c>
      <c r="N14" s="123" t="s">
        <v>257</v>
      </c>
      <c r="O14" s="39"/>
      <c r="P14" s="59"/>
      <c r="Q14" s="273">
        <v>44</v>
      </c>
      <c r="R14" s="178" t="s">
        <v>251</v>
      </c>
      <c r="S14" s="179"/>
      <c r="T14" s="179"/>
      <c r="U14" s="180" t="s">
        <v>252</v>
      </c>
      <c r="V14" s="21"/>
      <c r="W14" s="373"/>
      <c r="X14" s="375"/>
      <c r="Y14" s="361"/>
      <c r="Z14" s="378"/>
      <c r="AA14" s="383"/>
    </row>
    <row r="15" spans="1:27" s="3" customFormat="1" ht="16" thickBot="1">
      <c r="A15" s="55">
        <v>48</v>
      </c>
      <c r="B15" s="1" t="s">
        <v>258</v>
      </c>
      <c r="C15" s="62" t="s">
        <v>259</v>
      </c>
      <c r="D15" s="1" t="s">
        <v>181</v>
      </c>
      <c r="E15" s="27"/>
      <c r="F15" s="35"/>
      <c r="G15" s="153">
        <v>24</v>
      </c>
      <c r="H15" s="1" t="s">
        <v>258</v>
      </c>
      <c r="I15" s="62" t="s">
        <v>259</v>
      </c>
      <c r="J15" s="27"/>
      <c r="K15" s="12"/>
      <c r="L15" s="55">
        <f t="shared" si="0"/>
        <v>12</v>
      </c>
      <c r="M15" s="181" t="s">
        <v>260</v>
      </c>
      <c r="N15" s="123" t="s">
        <v>261</v>
      </c>
      <c r="O15" s="39"/>
      <c r="P15" s="59"/>
      <c r="Q15" s="367" t="s">
        <v>262</v>
      </c>
      <c r="R15" s="368"/>
      <c r="S15" s="368"/>
      <c r="T15" s="368"/>
      <c r="U15" s="369"/>
      <c r="V15" s="22"/>
      <c r="W15" s="374"/>
      <c r="X15" s="376"/>
      <c r="Y15" s="362"/>
      <c r="Z15" s="379"/>
      <c r="AA15" s="384"/>
    </row>
    <row r="16" spans="1:27" s="3" customFormat="1" ht="16" thickBot="1">
      <c r="A16" s="55">
        <v>52</v>
      </c>
      <c r="B16" s="1" t="s">
        <v>263</v>
      </c>
      <c r="C16" s="62" t="s">
        <v>264</v>
      </c>
      <c r="D16" s="1" t="s">
        <v>181</v>
      </c>
      <c r="E16" s="107"/>
      <c r="F16" s="35"/>
      <c r="G16" s="153">
        <v>26</v>
      </c>
      <c r="H16" s="1" t="s">
        <v>263</v>
      </c>
      <c r="I16" s="62" t="s">
        <v>264</v>
      </c>
      <c r="J16" s="107"/>
      <c r="K16" s="12"/>
      <c r="L16" s="55">
        <f>L15+1</f>
        <v>13</v>
      </c>
      <c r="M16" s="181" t="s">
        <v>265</v>
      </c>
      <c r="N16" s="123" t="s">
        <v>266</v>
      </c>
      <c r="O16" s="39"/>
      <c r="P16" s="59"/>
      <c r="Q16" s="370"/>
      <c r="R16" s="371"/>
      <c r="S16" s="371"/>
      <c r="T16" s="371"/>
      <c r="U16" s="372"/>
      <c r="V16" s="22"/>
      <c r="W16" s="9"/>
      <c r="X16" s="9"/>
      <c r="Y16" s="9"/>
      <c r="Z16" s="35"/>
      <c r="AA16" s="9"/>
    </row>
    <row r="17" spans="1:26" s="3" customFormat="1" ht="15.5">
      <c r="A17" s="55">
        <v>56</v>
      </c>
      <c r="B17" s="1" t="s">
        <v>267</v>
      </c>
      <c r="C17" s="62" t="s">
        <v>268</v>
      </c>
      <c r="D17" s="1" t="s">
        <v>181</v>
      </c>
      <c r="E17" s="27"/>
      <c r="F17" s="35"/>
      <c r="G17" s="153">
        <v>28</v>
      </c>
      <c r="H17" s="1" t="s">
        <v>267</v>
      </c>
      <c r="I17" s="62" t="s">
        <v>268</v>
      </c>
      <c r="J17" s="27"/>
      <c r="K17" s="12"/>
      <c r="L17" s="55">
        <f>L16+1</f>
        <v>14</v>
      </c>
      <c r="M17" s="181" t="s">
        <v>269</v>
      </c>
      <c r="N17" s="123" t="s">
        <v>270</v>
      </c>
      <c r="O17" s="39"/>
      <c r="P17" s="59"/>
      <c r="Q17" s="35"/>
      <c r="R17" s="46"/>
      <c r="S17" s="46"/>
      <c r="T17" s="46"/>
      <c r="U17" s="46"/>
      <c r="V17" s="22"/>
      <c r="W17" s="358" t="s">
        <v>1019</v>
      </c>
      <c r="X17" s="359"/>
      <c r="Y17" s="359"/>
      <c r="Z17" s="360"/>
    </row>
    <row r="18" spans="1:26" s="3" customFormat="1" ht="15.5">
      <c r="A18" s="273">
        <v>60</v>
      </c>
      <c r="B18" s="164" t="s">
        <v>271</v>
      </c>
      <c r="C18" s="164" t="s">
        <v>272</v>
      </c>
      <c r="D18" s="164" t="s">
        <v>181</v>
      </c>
      <c r="E18" s="165" t="s">
        <v>255</v>
      </c>
      <c r="F18" s="297"/>
      <c r="G18" s="273">
        <v>30</v>
      </c>
      <c r="H18" s="164" t="s">
        <v>271</v>
      </c>
      <c r="I18" s="164" t="s">
        <v>272</v>
      </c>
      <c r="J18" s="165" t="s">
        <v>255</v>
      </c>
      <c r="K18" s="12"/>
      <c r="L18" s="55">
        <f t="shared" si="0"/>
        <v>15</v>
      </c>
      <c r="M18" s="181" t="s">
        <v>273</v>
      </c>
      <c r="N18" s="123" t="s">
        <v>274</v>
      </c>
      <c r="O18" s="39"/>
      <c r="P18" s="59"/>
      <c r="Q18" s="35"/>
      <c r="R18" s="46"/>
      <c r="S18" s="46"/>
      <c r="T18" s="46"/>
      <c r="U18" s="46"/>
      <c r="V18" s="22"/>
      <c r="W18" s="32" t="s">
        <v>2</v>
      </c>
      <c r="X18" s="392" t="s">
        <v>144</v>
      </c>
      <c r="Y18" s="392"/>
      <c r="Z18" s="27" t="s">
        <v>174</v>
      </c>
    </row>
    <row r="19" spans="1:26" s="3" customFormat="1" ht="16" thickBot="1">
      <c r="A19" s="273">
        <v>64</v>
      </c>
      <c r="B19" s="164" t="s">
        <v>275</v>
      </c>
      <c r="C19" s="164" t="s">
        <v>276</v>
      </c>
      <c r="D19" s="164" t="s">
        <v>181</v>
      </c>
      <c r="E19" s="165" t="s">
        <v>255</v>
      </c>
      <c r="F19" s="297"/>
      <c r="G19" s="273">
        <v>32</v>
      </c>
      <c r="H19" s="164" t="s">
        <v>275</v>
      </c>
      <c r="I19" s="164" t="s">
        <v>276</v>
      </c>
      <c r="J19" s="165" t="s">
        <v>255</v>
      </c>
      <c r="K19" s="12"/>
      <c r="L19" s="55">
        <f>L18+1</f>
        <v>16</v>
      </c>
      <c r="M19" s="181" t="s">
        <v>277</v>
      </c>
      <c r="N19" s="123" t="s">
        <v>278</v>
      </c>
      <c r="O19" s="39"/>
      <c r="P19" s="59"/>
      <c r="Q19" s="35"/>
      <c r="R19" s="46"/>
      <c r="S19" s="46"/>
      <c r="T19" s="46"/>
      <c r="U19" s="46"/>
      <c r="V19" s="22"/>
      <c r="W19" s="54">
        <v>0</v>
      </c>
      <c r="X19" s="387" t="s">
        <v>1020</v>
      </c>
      <c r="Y19" s="387"/>
      <c r="Z19" s="27" t="s">
        <v>279</v>
      </c>
    </row>
    <row r="20" spans="1:26" s="3" customFormat="1" ht="15.5">
      <c r="A20" s="55">
        <v>68</v>
      </c>
      <c r="B20" s="1" t="s">
        <v>280</v>
      </c>
      <c r="C20" s="62" t="s">
        <v>281</v>
      </c>
      <c r="D20" s="1" t="s">
        <v>181</v>
      </c>
      <c r="E20" s="27"/>
      <c r="F20" s="35"/>
      <c r="G20" s="153">
        <v>34</v>
      </c>
      <c r="H20" s="1" t="s">
        <v>280</v>
      </c>
      <c r="I20" s="62" t="s">
        <v>281</v>
      </c>
      <c r="J20" s="27"/>
      <c r="K20" s="12"/>
      <c r="L20" s="55">
        <f t="shared" si="0"/>
        <v>17</v>
      </c>
      <c r="M20" s="181" t="s">
        <v>282</v>
      </c>
      <c r="N20" s="123" t="s">
        <v>283</v>
      </c>
      <c r="O20" s="39"/>
      <c r="P20" s="59"/>
      <c r="Q20" s="358" t="s">
        <v>1018</v>
      </c>
      <c r="R20" s="359"/>
      <c r="S20" s="363"/>
      <c r="T20" s="363"/>
      <c r="U20" s="360"/>
      <c r="V20" s="22"/>
      <c r="W20" s="54">
        <v>4</v>
      </c>
      <c r="X20" s="387" t="s">
        <v>284</v>
      </c>
      <c r="Y20" s="387"/>
      <c r="Z20" s="27" t="s">
        <v>285</v>
      </c>
    </row>
    <row r="21" spans="1:26" s="3" customFormat="1" ht="37.5">
      <c r="A21" s="153">
        <v>72</v>
      </c>
      <c r="B21" s="1" t="s">
        <v>286</v>
      </c>
      <c r="C21" s="1" t="s">
        <v>287</v>
      </c>
      <c r="D21" s="1" t="s">
        <v>181</v>
      </c>
      <c r="E21" s="155" t="s">
        <v>288</v>
      </c>
      <c r="F21" s="296"/>
      <c r="G21" s="153">
        <v>36</v>
      </c>
      <c r="H21" s="1" t="s">
        <v>697</v>
      </c>
      <c r="I21" s="1" t="s">
        <v>287</v>
      </c>
      <c r="J21" s="155" t="s">
        <v>288</v>
      </c>
      <c r="K21" s="12"/>
      <c r="L21" s="55">
        <f>L20+1</f>
        <v>18</v>
      </c>
      <c r="M21" s="181" t="s">
        <v>289</v>
      </c>
      <c r="N21" s="123" t="s">
        <v>290</v>
      </c>
      <c r="O21" s="39"/>
      <c r="P21" s="59"/>
      <c r="Q21" s="32" t="s">
        <v>2</v>
      </c>
      <c r="R21" s="31" t="s">
        <v>144</v>
      </c>
      <c r="S21" s="121" t="s">
        <v>174</v>
      </c>
      <c r="T21" s="121" t="s">
        <v>176</v>
      </c>
      <c r="U21" s="65" t="s">
        <v>4</v>
      </c>
      <c r="V21" s="154"/>
      <c r="W21" s="280">
        <v>8</v>
      </c>
      <c r="X21" s="387" t="s">
        <v>291</v>
      </c>
      <c r="Y21" s="387"/>
      <c r="Z21" s="27" t="s">
        <v>292</v>
      </c>
    </row>
    <row r="22" spans="1:26" s="3" customFormat="1" ht="37.5">
      <c r="A22" s="153">
        <v>76</v>
      </c>
      <c r="B22" s="1" t="s">
        <v>293</v>
      </c>
      <c r="C22" s="1" t="s">
        <v>294</v>
      </c>
      <c r="D22" s="1" t="s">
        <v>181</v>
      </c>
      <c r="E22" s="155" t="s">
        <v>295</v>
      </c>
      <c r="F22" s="296"/>
      <c r="G22" s="153">
        <v>38</v>
      </c>
      <c r="H22" s="1" t="s">
        <v>698</v>
      </c>
      <c r="I22" s="1" t="s">
        <v>294</v>
      </c>
      <c r="J22" s="155" t="s">
        <v>295</v>
      </c>
      <c r="K22" s="12"/>
      <c r="L22" s="55">
        <f>L21+1</f>
        <v>19</v>
      </c>
      <c r="M22" s="181" t="s">
        <v>983</v>
      </c>
      <c r="N22" s="123" t="s">
        <v>296</v>
      </c>
      <c r="O22" s="39"/>
      <c r="P22" s="59"/>
      <c r="Q22" s="55">
        <v>0</v>
      </c>
      <c r="R22" s="1" t="s">
        <v>297</v>
      </c>
      <c r="S22" s="122" t="s">
        <v>298</v>
      </c>
      <c r="T22" s="122" t="s">
        <v>186</v>
      </c>
      <c r="U22" s="155"/>
      <c r="V22" s="156"/>
      <c r="W22" s="54">
        <v>12</v>
      </c>
      <c r="X22" s="387" t="s">
        <v>299</v>
      </c>
      <c r="Y22" s="387"/>
      <c r="Z22" s="27" t="s">
        <v>300</v>
      </c>
    </row>
    <row r="23" spans="1:26" s="3" customFormat="1" ht="16.5" customHeight="1">
      <c r="A23" s="55">
        <v>80</v>
      </c>
      <c r="B23" s="1" t="s">
        <v>980</v>
      </c>
      <c r="C23" s="62" t="s">
        <v>302</v>
      </c>
      <c r="D23" s="1" t="s">
        <v>181</v>
      </c>
      <c r="E23" s="27"/>
      <c r="F23" s="35"/>
      <c r="G23" s="153">
        <v>40</v>
      </c>
      <c r="H23" s="1" t="s">
        <v>301</v>
      </c>
      <c r="I23" s="62" t="s">
        <v>302</v>
      </c>
      <c r="J23" s="27"/>
      <c r="K23" s="12"/>
      <c r="L23" s="161">
        <f t="shared" si="0"/>
        <v>20</v>
      </c>
      <c r="M23" s="167" t="s">
        <v>303</v>
      </c>
      <c r="N23" s="168"/>
      <c r="O23" s="169" t="s">
        <v>304</v>
      </c>
      <c r="P23" s="59"/>
      <c r="Q23" s="55">
        <v>4</v>
      </c>
      <c r="R23" s="1" t="s">
        <v>305</v>
      </c>
      <c r="S23" s="122" t="s">
        <v>306</v>
      </c>
      <c r="T23" s="122" t="s">
        <v>186</v>
      </c>
      <c r="U23" s="27"/>
      <c r="V23" s="157"/>
      <c r="W23" s="54">
        <v>16</v>
      </c>
      <c r="X23" s="387" t="s">
        <v>307</v>
      </c>
      <c r="Y23" s="387"/>
      <c r="Z23" s="27" t="s">
        <v>308</v>
      </c>
    </row>
    <row r="24" spans="1:26" s="3" customFormat="1" ht="15.5">
      <c r="A24" s="312">
        <v>84</v>
      </c>
      <c r="B24" s="313" t="s">
        <v>309</v>
      </c>
      <c r="C24" s="313" t="s">
        <v>310</v>
      </c>
      <c r="D24" s="313" t="s">
        <v>181</v>
      </c>
      <c r="E24" s="314"/>
      <c r="F24" s="35"/>
      <c r="G24" s="153">
        <v>42</v>
      </c>
      <c r="H24" s="1" t="s">
        <v>309</v>
      </c>
      <c r="I24" s="62" t="s">
        <v>310</v>
      </c>
      <c r="J24" s="27"/>
      <c r="K24" s="12"/>
      <c r="L24" s="161">
        <f>L23+1</f>
        <v>21</v>
      </c>
      <c r="M24" s="167" t="s">
        <v>311</v>
      </c>
      <c r="N24" s="168"/>
      <c r="O24" s="169" t="s">
        <v>312</v>
      </c>
      <c r="P24" s="59"/>
      <c r="Q24" s="55">
        <v>8</v>
      </c>
      <c r="R24" s="1" t="s">
        <v>313</v>
      </c>
      <c r="S24" s="122" t="s">
        <v>314</v>
      </c>
      <c r="T24" s="122" t="s">
        <v>186</v>
      </c>
      <c r="U24" s="64"/>
      <c r="V24" s="22"/>
      <c r="W24" s="280">
        <v>20</v>
      </c>
      <c r="X24" s="387" t="s">
        <v>315</v>
      </c>
      <c r="Y24" s="387"/>
      <c r="Z24" s="27" t="s">
        <v>316</v>
      </c>
    </row>
    <row r="25" spans="1:26" s="3" customFormat="1" ht="16" thickBot="1">
      <c r="A25" s="55">
        <v>88</v>
      </c>
      <c r="B25" s="1" t="s">
        <v>317</v>
      </c>
      <c r="C25" s="62" t="s">
        <v>318</v>
      </c>
      <c r="D25" s="1" t="s">
        <v>181</v>
      </c>
      <c r="E25" s="27"/>
      <c r="F25" s="35"/>
      <c r="G25" s="153">
        <v>44</v>
      </c>
      <c r="H25" s="1" t="s">
        <v>317</v>
      </c>
      <c r="I25" s="62" t="s">
        <v>318</v>
      </c>
      <c r="J25" s="27"/>
      <c r="K25" s="12"/>
      <c r="L25" s="55">
        <f t="shared" si="0"/>
        <v>22</v>
      </c>
      <c r="M25" s="181" t="s">
        <v>319</v>
      </c>
      <c r="N25" s="123" t="s">
        <v>320</v>
      </c>
      <c r="O25" s="39"/>
      <c r="P25" s="59"/>
      <c r="Q25" s="201">
        <v>12</v>
      </c>
      <c r="R25" s="50" t="s">
        <v>321</v>
      </c>
      <c r="S25" s="202" t="s">
        <v>322</v>
      </c>
      <c r="T25" s="202" t="s">
        <v>186</v>
      </c>
      <c r="U25" s="47"/>
      <c r="V25" s="22"/>
      <c r="W25" s="54"/>
      <c r="X25" s="9"/>
      <c r="Y25" s="9"/>
      <c r="Z25" s="206"/>
    </row>
    <row r="26" spans="1:26" s="3" customFormat="1" ht="13" thickBot="1">
      <c r="A26" s="55">
        <v>92</v>
      </c>
      <c r="B26" s="1" t="s">
        <v>323</v>
      </c>
      <c r="C26" s="62" t="s">
        <v>324</v>
      </c>
      <c r="D26" s="1" t="s">
        <v>181</v>
      </c>
      <c r="E26" s="27"/>
      <c r="F26" s="35"/>
      <c r="G26" s="153">
        <v>46</v>
      </c>
      <c r="H26" s="1" t="s">
        <v>323</v>
      </c>
      <c r="I26" s="62" t="s">
        <v>324</v>
      </c>
      <c r="J26" s="27"/>
      <c r="K26" s="12"/>
      <c r="L26" s="161">
        <v>23</v>
      </c>
      <c r="M26" s="167" t="s">
        <v>325</v>
      </c>
      <c r="N26" s="168" t="s">
        <v>326</v>
      </c>
      <c r="O26" s="169" t="s">
        <v>327</v>
      </c>
      <c r="P26" s="59"/>
      <c r="Q26" s="35"/>
      <c r="R26" s="9"/>
      <c r="S26" s="9"/>
      <c r="T26" s="9"/>
      <c r="U26" s="35"/>
      <c r="V26" s="9"/>
      <c r="W26" s="388" t="s">
        <v>328</v>
      </c>
      <c r="X26" s="389"/>
      <c r="Y26" s="389"/>
      <c r="Z26" s="390"/>
    </row>
    <row r="27" spans="1:26" s="3" customFormat="1">
      <c r="A27" s="55">
        <v>96</v>
      </c>
      <c r="B27" s="1" t="s">
        <v>329</v>
      </c>
      <c r="C27" s="62" t="s">
        <v>330</v>
      </c>
      <c r="D27" s="1" t="s">
        <v>181</v>
      </c>
      <c r="E27" s="27"/>
      <c r="F27" s="35"/>
      <c r="G27" s="153">
        <v>48</v>
      </c>
      <c r="H27" s="1" t="s">
        <v>329</v>
      </c>
      <c r="I27" s="62" t="s">
        <v>330</v>
      </c>
      <c r="J27" s="27"/>
      <c r="K27" s="12"/>
      <c r="L27" s="161">
        <v>24</v>
      </c>
      <c r="M27" s="167" t="s">
        <v>331</v>
      </c>
      <c r="N27" s="168" t="s">
        <v>332</v>
      </c>
      <c r="O27" s="169" t="s">
        <v>327</v>
      </c>
      <c r="P27" s="59"/>
      <c r="Q27" s="35"/>
      <c r="R27" s="35"/>
      <c r="S27" s="35"/>
      <c r="T27" s="35"/>
      <c r="U27" s="35"/>
      <c r="V27" s="9"/>
      <c r="W27" s="41"/>
      <c r="X27" s="391"/>
      <c r="Y27" s="391"/>
      <c r="Z27" s="35"/>
    </row>
    <row r="28" spans="1:26" s="3" customFormat="1" ht="37.5">
      <c r="A28" s="153">
        <v>100</v>
      </c>
      <c r="B28" s="1" t="s">
        <v>1011</v>
      </c>
      <c r="C28" s="1" t="s">
        <v>278</v>
      </c>
      <c r="D28" s="1" t="s">
        <v>181</v>
      </c>
      <c r="E28" s="155" t="s">
        <v>334</v>
      </c>
      <c r="F28" s="35"/>
      <c r="G28" s="153">
        <v>50</v>
      </c>
      <c r="H28" s="1" t="s">
        <v>333</v>
      </c>
      <c r="I28" s="1" t="s">
        <v>278</v>
      </c>
      <c r="J28" s="155" t="s">
        <v>334</v>
      </c>
      <c r="K28" s="12"/>
      <c r="L28" s="161">
        <v>25</v>
      </c>
      <c r="M28" s="164" t="s">
        <v>335</v>
      </c>
      <c r="N28" s="170" t="s">
        <v>336</v>
      </c>
      <c r="O28" s="171" t="s">
        <v>190</v>
      </c>
      <c r="P28" s="60"/>
      <c r="Q28" s="35"/>
      <c r="R28" s="9"/>
      <c r="S28" s="9"/>
      <c r="T28" s="9"/>
      <c r="U28" s="35"/>
      <c r="V28" s="9"/>
      <c r="W28" s="41"/>
      <c r="X28" s="9"/>
      <c r="Y28" s="42"/>
      <c r="Z28" s="35"/>
    </row>
    <row r="29" spans="1:26" s="3" customFormat="1" ht="16" thickBot="1">
      <c r="A29" s="55">
        <v>104</v>
      </c>
      <c r="B29" s="1" t="s">
        <v>1012</v>
      </c>
      <c r="C29" s="62" t="s">
        <v>338</v>
      </c>
      <c r="D29" s="1" t="s">
        <v>181</v>
      </c>
      <c r="E29" s="27"/>
      <c r="F29" s="35"/>
      <c r="G29" s="153">
        <v>52</v>
      </c>
      <c r="H29" s="1" t="s">
        <v>337</v>
      </c>
      <c r="I29" s="62" t="s">
        <v>338</v>
      </c>
      <c r="J29" s="27"/>
      <c r="K29" s="12"/>
      <c r="L29" s="172">
        <v>26</v>
      </c>
      <c r="M29" s="173" t="s">
        <v>339</v>
      </c>
      <c r="N29" s="174" t="s">
        <v>340</v>
      </c>
      <c r="O29" s="171" t="s">
        <v>190</v>
      </c>
      <c r="P29" s="9"/>
      <c r="Q29" s="35"/>
      <c r="R29" s="35"/>
      <c r="S29" s="35"/>
      <c r="T29" s="35"/>
      <c r="U29" s="35"/>
      <c r="V29" s="9"/>
      <c r="W29" s="41"/>
      <c r="X29" s="9"/>
      <c r="Y29" s="42"/>
      <c r="Z29" s="35"/>
    </row>
    <row r="30" spans="1:26" s="3" customFormat="1">
      <c r="A30" s="55">
        <v>108</v>
      </c>
      <c r="B30" s="1" t="s">
        <v>341</v>
      </c>
      <c r="C30" s="62" t="s">
        <v>342</v>
      </c>
      <c r="D30" s="1" t="s">
        <v>181</v>
      </c>
      <c r="E30" s="27"/>
      <c r="F30" s="35"/>
      <c r="G30" s="153">
        <v>54</v>
      </c>
      <c r="H30" s="1" t="s">
        <v>341</v>
      </c>
      <c r="I30" s="62" t="s">
        <v>342</v>
      </c>
      <c r="J30" s="27"/>
      <c r="K30" s="12"/>
      <c r="L30" s="35"/>
      <c r="M30" s="9"/>
      <c r="N30" s="9"/>
      <c r="O30" s="9"/>
      <c r="P30" s="9"/>
      <c r="Q30" s="35"/>
      <c r="R30" s="35"/>
      <c r="S30" s="35"/>
      <c r="T30" s="35"/>
      <c r="U30" s="35"/>
      <c r="V30" s="9"/>
      <c r="W30" s="41"/>
      <c r="X30" s="9"/>
      <c r="Y30" s="9"/>
      <c r="Z30" s="35"/>
    </row>
    <row r="31" spans="1:26" s="3" customFormat="1" ht="13">
      <c r="A31" s="55">
        <v>112</v>
      </c>
      <c r="B31" s="1" t="s">
        <v>343</v>
      </c>
      <c r="C31" s="62" t="s">
        <v>344</v>
      </c>
      <c r="D31" s="1" t="s">
        <v>181</v>
      </c>
      <c r="E31" s="27"/>
      <c r="F31" s="35"/>
      <c r="G31" s="153">
        <v>56</v>
      </c>
      <c r="H31" s="1" t="s">
        <v>343</v>
      </c>
      <c r="I31" s="62" t="s">
        <v>344</v>
      </c>
      <c r="J31" s="27"/>
      <c r="K31" s="12"/>
      <c r="L31" s="35"/>
      <c r="M31" s="9"/>
      <c r="N31" s="9"/>
      <c r="O31" s="36"/>
      <c r="P31" s="36"/>
      <c r="Q31" s="35"/>
      <c r="R31" s="35"/>
      <c r="S31" s="35"/>
      <c r="T31" s="35"/>
      <c r="U31" s="35"/>
      <c r="V31" s="9"/>
      <c r="W31" s="385"/>
      <c r="X31" s="386"/>
      <c r="Y31" s="386"/>
      <c r="Z31" s="35"/>
    </row>
    <row r="32" spans="1:26" s="3" customFormat="1" ht="13">
      <c r="A32" s="55">
        <v>116</v>
      </c>
      <c r="B32" s="1" t="s">
        <v>345</v>
      </c>
      <c r="C32" s="62" t="s">
        <v>346</v>
      </c>
      <c r="D32" s="1" t="s">
        <v>181</v>
      </c>
      <c r="E32" s="27"/>
      <c r="F32" s="35"/>
      <c r="G32" s="153">
        <v>58</v>
      </c>
      <c r="H32" s="1" t="s">
        <v>345</v>
      </c>
      <c r="I32" s="62" t="s">
        <v>346</v>
      </c>
      <c r="J32" s="27"/>
      <c r="K32" s="12"/>
      <c r="L32" s="35"/>
      <c r="M32" s="9"/>
      <c r="N32" s="9"/>
      <c r="O32" s="36"/>
      <c r="P32" s="36"/>
      <c r="Q32" s="26"/>
      <c r="R32" s="35"/>
      <c r="S32" s="35"/>
      <c r="T32" s="35"/>
      <c r="U32" s="35"/>
      <c r="V32" s="9"/>
      <c r="W32" s="9"/>
      <c r="X32" s="4"/>
      <c r="Y32"/>
      <c r="Z32" s="35"/>
    </row>
    <row r="33" spans="1:26" s="3" customFormat="1">
      <c r="A33" s="55">
        <v>120</v>
      </c>
      <c r="B33" s="1" t="s">
        <v>253</v>
      </c>
      <c r="C33" s="62" t="s">
        <v>347</v>
      </c>
      <c r="D33" s="1" t="s">
        <v>181</v>
      </c>
      <c r="E33" s="27"/>
      <c r="F33" s="35"/>
      <c r="G33" s="153">
        <v>60</v>
      </c>
      <c r="H33" s="1" t="s">
        <v>253</v>
      </c>
      <c r="I33" s="62" t="s">
        <v>347</v>
      </c>
      <c r="J33" s="27"/>
      <c r="K33" s="12"/>
      <c r="L33" s="35"/>
      <c r="M33" s="9"/>
      <c r="N33" s="9"/>
      <c r="O33" s="35"/>
      <c r="P33" s="35"/>
      <c r="Q33" s="35"/>
      <c r="R33" s="35"/>
      <c r="S33" s="35"/>
      <c r="T33" s="35"/>
      <c r="U33" s="35"/>
      <c r="V33" s="9"/>
      <c r="W33" s="9"/>
      <c r="X33" s="9"/>
      <c r="Y33" s="9"/>
      <c r="Z33" s="35"/>
    </row>
    <row r="34" spans="1:26" s="3" customFormat="1" ht="13.5" customHeight="1">
      <c r="A34" s="161">
        <v>124</v>
      </c>
      <c r="B34" s="164" t="s">
        <v>348</v>
      </c>
      <c r="C34" s="164" t="s">
        <v>349</v>
      </c>
      <c r="D34" s="162" t="s">
        <v>181</v>
      </c>
      <c r="E34" s="165" t="s">
        <v>255</v>
      </c>
      <c r="F34" s="35"/>
      <c r="G34" s="161">
        <v>62</v>
      </c>
      <c r="H34" s="164" t="s">
        <v>348</v>
      </c>
      <c r="I34" s="164" t="s">
        <v>349</v>
      </c>
      <c r="J34" s="165" t="s">
        <v>255</v>
      </c>
      <c r="K34" s="12"/>
      <c r="L34" s="35"/>
      <c r="M34" s="9"/>
      <c r="N34" s="9"/>
      <c r="O34" s="35"/>
      <c r="P34" s="35"/>
      <c r="Q34" s="35"/>
      <c r="R34" s="35"/>
      <c r="S34" s="35"/>
      <c r="T34" s="35"/>
      <c r="U34" s="35"/>
      <c r="V34" s="9"/>
      <c r="W34" s="9"/>
      <c r="X34" s="9"/>
      <c r="Y34" s="9"/>
      <c r="Z34" s="35"/>
    </row>
    <row r="35" spans="1:26" s="3" customFormat="1" ht="12.75" customHeight="1">
      <c r="A35" s="55">
        <v>128</v>
      </c>
      <c r="B35" s="1" t="s">
        <v>350</v>
      </c>
      <c r="C35" s="62" t="s">
        <v>351</v>
      </c>
      <c r="D35" s="1" t="s">
        <v>181</v>
      </c>
      <c r="E35" s="27"/>
      <c r="F35" s="35"/>
      <c r="G35" s="153">
        <v>64</v>
      </c>
      <c r="H35" s="1" t="s">
        <v>350</v>
      </c>
      <c r="I35" s="62" t="s">
        <v>351</v>
      </c>
      <c r="J35" s="27"/>
      <c r="K35" s="12"/>
      <c r="L35" s="35"/>
      <c r="M35" s="9"/>
      <c r="N35" s="9"/>
      <c r="O35" s="35"/>
      <c r="P35" s="35"/>
      <c r="Q35" s="35"/>
      <c r="R35" s="35"/>
      <c r="S35" s="35"/>
      <c r="T35" s="35"/>
      <c r="U35" s="35"/>
      <c r="V35" s="9"/>
      <c r="W35"/>
      <c r="X35"/>
      <c r="Y35"/>
      <c r="Z35" s="35"/>
    </row>
    <row r="36" spans="1:26" s="3" customFormat="1" ht="12.75" customHeight="1">
      <c r="A36" s="161">
        <v>132</v>
      </c>
      <c r="B36" s="164" t="s">
        <v>352</v>
      </c>
      <c r="C36" s="164" t="s">
        <v>353</v>
      </c>
      <c r="D36" s="162" t="s">
        <v>181</v>
      </c>
      <c r="E36" s="165" t="s">
        <v>255</v>
      </c>
      <c r="F36" s="35"/>
      <c r="G36" s="161">
        <v>66</v>
      </c>
      <c r="H36" s="164" t="s">
        <v>352</v>
      </c>
      <c r="I36" s="164" t="s">
        <v>353</v>
      </c>
      <c r="J36" s="165" t="s">
        <v>255</v>
      </c>
      <c r="K36" s="12"/>
      <c r="L36" s="35"/>
      <c r="M36" s="9"/>
      <c r="N36" s="9"/>
      <c r="O36" s="35"/>
      <c r="P36" s="35"/>
      <c r="Q36" s="35"/>
      <c r="R36" s="35"/>
      <c r="S36" s="35"/>
      <c r="T36" s="35"/>
      <c r="U36" s="35"/>
      <c r="V36" s="9"/>
      <c r="W36"/>
      <c r="X36"/>
      <c r="Y36"/>
      <c r="Z36" s="35"/>
    </row>
    <row r="37" spans="1:26" s="3" customFormat="1">
      <c r="A37" s="55">
        <v>136</v>
      </c>
      <c r="B37" s="1" t="s">
        <v>354</v>
      </c>
      <c r="C37" s="62" t="s">
        <v>355</v>
      </c>
      <c r="D37" s="1" t="s">
        <v>181</v>
      </c>
      <c r="E37" s="27"/>
      <c r="F37" s="35"/>
      <c r="G37" s="153">
        <v>68</v>
      </c>
      <c r="H37" s="1" t="s">
        <v>354</v>
      </c>
      <c r="I37" s="62" t="s">
        <v>355</v>
      </c>
      <c r="J37" s="27"/>
      <c r="K37" s="12"/>
      <c r="L37" s="35"/>
      <c r="M37" s="9"/>
      <c r="N37" s="9"/>
      <c r="O37" s="61"/>
      <c r="P37" s="61"/>
      <c r="Q37" s="26"/>
      <c r="R37" s="26"/>
      <c r="S37" s="26"/>
      <c r="T37" s="26"/>
      <c r="U37" s="26"/>
      <c r="V37" s="9"/>
      <c r="W37"/>
      <c r="X37"/>
      <c r="Y37"/>
      <c r="Z37" s="35"/>
    </row>
    <row r="38" spans="1:26">
      <c r="A38" s="55">
        <v>140</v>
      </c>
      <c r="B38" s="1" t="s">
        <v>356</v>
      </c>
      <c r="C38" s="62" t="s">
        <v>357</v>
      </c>
      <c r="D38" s="1" t="s">
        <v>181</v>
      </c>
      <c r="E38" s="27"/>
      <c r="F38" s="35"/>
      <c r="G38" s="153">
        <v>70</v>
      </c>
      <c r="H38" s="1" t="s">
        <v>356</v>
      </c>
      <c r="I38" s="62" t="s">
        <v>357</v>
      </c>
      <c r="J38" s="27"/>
      <c r="K38" s="12"/>
    </row>
    <row r="39" spans="1:26">
      <c r="A39" s="55">
        <v>144</v>
      </c>
      <c r="B39" s="1" t="s">
        <v>358</v>
      </c>
      <c r="C39" s="62" t="s">
        <v>359</v>
      </c>
      <c r="D39" s="1" t="s">
        <v>181</v>
      </c>
      <c r="E39" s="27"/>
      <c r="F39" s="35"/>
      <c r="G39" s="153">
        <v>72</v>
      </c>
      <c r="H39" s="1" t="s">
        <v>358</v>
      </c>
      <c r="I39" s="62" t="s">
        <v>359</v>
      </c>
      <c r="J39" s="27"/>
      <c r="K39" s="12"/>
      <c r="R39" s="35"/>
      <c r="S39" s="35"/>
      <c r="T39" s="35"/>
      <c r="U39" s="35"/>
    </row>
    <row r="40" spans="1:26" ht="12.75" customHeight="1">
      <c r="A40" s="55">
        <v>148</v>
      </c>
      <c r="B40" s="1" t="s">
        <v>360</v>
      </c>
      <c r="C40" s="62" t="s">
        <v>361</v>
      </c>
      <c r="D40" s="1" t="s">
        <v>181</v>
      </c>
      <c r="E40" s="27"/>
      <c r="F40" s="35"/>
      <c r="G40" s="153">
        <v>74</v>
      </c>
      <c r="H40" s="1" t="s">
        <v>360</v>
      </c>
      <c r="I40" s="62" t="s">
        <v>361</v>
      </c>
      <c r="J40" s="27"/>
      <c r="K40" s="12"/>
      <c r="V40" s="9"/>
    </row>
    <row r="41" spans="1:26">
      <c r="A41" s="55">
        <v>152</v>
      </c>
      <c r="B41" s="1" t="s">
        <v>362</v>
      </c>
      <c r="C41" s="62" t="s">
        <v>363</v>
      </c>
      <c r="D41" s="1" t="s">
        <v>181</v>
      </c>
      <c r="E41" s="27"/>
      <c r="F41" s="35"/>
      <c r="G41" s="153">
        <v>76</v>
      </c>
      <c r="H41" s="1" t="s">
        <v>362</v>
      </c>
      <c r="I41" s="62" t="s">
        <v>363</v>
      </c>
      <c r="J41" s="27"/>
      <c r="K41" s="12"/>
    </row>
    <row r="42" spans="1:26">
      <c r="A42" s="55">
        <v>156</v>
      </c>
      <c r="B42" s="1" t="s">
        <v>364</v>
      </c>
      <c r="C42" s="62" t="s">
        <v>365</v>
      </c>
      <c r="D42" s="1" t="s">
        <v>181</v>
      </c>
      <c r="E42" s="27"/>
      <c r="F42" s="35"/>
      <c r="G42" s="153">
        <v>78</v>
      </c>
      <c r="H42" s="1" t="s">
        <v>364</v>
      </c>
      <c r="I42" s="62" t="s">
        <v>365</v>
      </c>
      <c r="J42" s="27"/>
      <c r="K42" s="12"/>
    </row>
    <row r="43" spans="1:26" ht="13.5" customHeight="1">
      <c r="A43" s="55">
        <v>160</v>
      </c>
      <c r="B43" s="1" t="s">
        <v>366</v>
      </c>
      <c r="C43" s="62" t="s">
        <v>367</v>
      </c>
      <c r="D43" s="1" t="s">
        <v>181</v>
      </c>
      <c r="E43" s="27"/>
      <c r="F43" s="35"/>
      <c r="G43" s="153">
        <v>80</v>
      </c>
      <c r="H43" s="1" t="s">
        <v>366</v>
      </c>
      <c r="I43" s="62" t="s">
        <v>367</v>
      </c>
      <c r="J43" s="27"/>
      <c r="K43" s="12"/>
    </row>
    <row r="44" spans="1:26" ht="12.75" customHeight="1">
      <c r="A44" s="109">
        <v>164</v>
      </c>
      <c r="B44" s="1" t="s">
        <v>368</v>
      </c>
      <c r="C44" s="62" t="s">
        <v>369</v>
      </c>
      <c r="D44" s="1" t="s">
        <v>181</v>
      </c>
      <c r="E44" s="27"/>
      <c r="F44" s="35"/>
      <c r="G44" s="153">
        <v>82</v>
      </c>
      <c r="H44" s="1" t="s">
        <v>368</v>
      </c>
      <c r="I44" s="62" t="s">
        <v>369</v>
      </c>
      <c r="J44" s="27"/>
      <c r="K44" s="12"/>
      <c r="L44" s="12"/>
    </row>
    <row r="45" spans="1:26">
      <c r="A45" s="109">
        <v>168</v>
      </c>
      <c r="B45" s="1" t="s">
        <v>370</v>
      </c>
      <c r="C45" s="62" t="s">
        <v>371</v>
      </c>
      <c r="D45" s="1" t="s">
        <v>181</v>
      </c>
      <c r="E45" s="27"/>
      <c r="F45" s="35"/>
      <c r="G45" s="153">
        <v>84</v>
      </c>
      <c r="H45" s="1" t="s">
        <v>370</v>
      </c>
      <c r="I45" s="62" t="s">
        <v>371</v>
      </c>
      <c r="J45" s="27"/>
      <c r="K45" s="12"/>
      <c r="L45" s="12"/>
    </row>
    <row r="46" spans="1:26">
      <c r="A46" s="109">
        <v>172</v>
      </c>
      <c r="B46" s="1" t="s">
        <v>372</v>
      </c>
      <c r="C46" s="62" t="s">
        <v>373</v>
      </c>
      <c r="D46" s="1" t="s">
        <v>181</v>
      </c>
      <c r="E46" s="27"/>
      <c r="F46" s="35"/>
      <c r="G46" s="153">
        <v>86</v>
      </c>
      <c r="H46" s="1" t="s">
        <v>372</v>
      </c>
      <c r="I46" s="62" t="s">
        <v>373</v>
      </c>
      <c r="J46" s="27"/>
      <c r="K46" s="12"/>
      <c r="L46" s="12"/>
    </row>
    <row r="47" spans="1:26">
      <c r="A47" s="166">
        <v>176</v>
      </c>
      <c r="B47" s="164" t="s">
        <v>374</v>
      </c>
      <c r="C47" s="164"/>
      <c r="D47" s="162" t="s">
        <v>181</v>
      </c>
      <c r="E47" s="165" t="s">
        <v>255</v>
      </c>
      <c r="F47" s="35"/>
      <c r="G47" s="161">
        <v>88</v>
      </c>
      <c r="H47" s="164" t="s">
        <v>374</v>
      </c>
      <c r="I47" s="164"/>
      <c r="J47" s="165" t="s">
        <v>255</v>
      </c>
      <c r="K47" s="12"/>
      <c r="L47" s="12"/>
    </row>
    <row r="48" spans="1:26">
      <c r="A48" s="166">
        <v>180</v>
      </c>
      <c r="B48" s="164" t="s">
        <v>375</v>
      </c>
      <c r="C48" s="164"/>
      <c r="D48" s="162" t="s">
        <v>181</v>
      </c>
      <c r="E48" s="165" t="s">
        <v>255</v>
      </c>
      <c r="F48" s="35"/>
      <c r="G48" s="161">
        <v>90</v>
      </c>
      <c r="H48" s="164" t="s">
        <v>375</v>
      </c>
      <c r="I48" s="164"/>
      <c r="J48" s="165" t="s">
        <v>255</v>
      </c>
      <c r="K48" s="12"/>
      <c r="L48" s="12"/>
    </row>
    <row r="49" spans="1:25" ht="13.25" customHeight="1">
      <c r="A49" s="109">
        <v>184</v>
      </c>
      <c r="B49" s="1" t="s">
        <v>981</v>
      </c>
      <c r="C49" s="62" t="s">
        <v>377</v>
      </c>
      <c r="D49" s="1" t="s">
        <v>181</v>
      </c>
      <c r="E49" s="27"/>
      <c r="F49" s="35"/>
      <c r="G49" s="153">
        <v>92</v>
      </c>
      <c r="H49" s="1" t="s">
        <v>376</v>
      </c>
      <c r="I49" s="62" t="s">
        <v>377</v>
      </c>
      <c r="J49" s="34"/>
      <c r="K49" s="12"/>
      <c r="R49" s="35"/>
      <c r="S49" s="35"/>
      <c r="T49" s="35"/>
      <c r="U49" s="35"/>
    </row>
    <row r="50" spans="1:25" ht="12.75" customHeight="1">
      <c r="A50" s="166">
        <v>188</v>
      </c>
      <c r="B50" s="164" t="s">
        <v>378</v>
      </c>
      <c r="C50" s="162"/>
      <c r="D50" s="162" t="s">
        <v>181</v>
      </c>
      <c r="E50" s="165" t="s">
        <v>255</v>
      </c>
      <c r="F50" s="35"/>
      <c r="G50" s="161">
        <v>94</v>
      </c>
      <c r="H50" s="164" t="s">
        <v>378</v>
      </c>
      <c r="I50" s="162"/>
      <c r="J50" s="165" t="s">
        <v>255</v>
      </c>
      <c r="K50" s="12"/>
      <c r="V50" s="9"/>
    </row>
    <row r="51" spans="1:25">
      <c r="A51" s="109">
        <v>192</v>
      </c>
      <c r="B51" s="1" t="s">
        <v>379</v>
      </c>
      <c r="C51" s="62" t="s">
        <v>380</v>
      </c>
      <c r="D51" s="1" t="s">
        <v>181</v>
      </c>
      <c r="E51" s="27"/>
      <c r="F51" s="35"/>
      <c r="G51" s="153">
        <v>96</v>
      </c>
      <c r="H51" s="1" t="s">
        <v>379</v>
      </c>
      <c r="I51" s="62" t="s">
        <v>380</v>
      </c>
      <c r="J51" s="34"/>
      <c r="K51" s="12"/>
    </row>
    <row r="52" spans="1:25">
      <c r="A52" s="166">
        <v>196</v>
      </c>
      <c r="B52" s="164" t="s">
        <v>381</v>
      </c>
      <c r="C52" s="164" t="s">
        <v>382</v>
      </c>
      <c r="D52" s="162" t="s">
        <v>181</v>
      </c>
      <c r="E52" s="165" t="s">
        <v>255</v>
      </c>
      <c r="F52" s="35"/>
      <c r="G52" s="161">
        <v>98</v>
      </c>
      <c r="H52" s="164" t="s">
        <v>381</v>
      </c>
      <c r="I52" s="164" t="s">
        <v>382</v>
      </c>
      <c r="J52" s="165" t="s">
        <v>255</v>
      </c>
      <c r="K52" s="12"/>
    </row>
    <row r="53" spans="1:25">
      <c r="A53" s="109">
        <v>200</v>
      </c>
      <c r="B53" s="1" t="s">
        <v>383</v>
      </c>
      <c r="C53" s="1" t="s">
        <v>384</v>
      </c>
      <c r="D53" s="1" t="s">
        <v>181</v>
      </c>
      <c r="E53" s="27"/>
      <c r="F53" s="35"/>
      <c r="G53" s="153">
        <v>100</v>
      </c>
      <c r="H53" s="1" t="s">
        <v>383</v>
      </c>
      <c r="I53" s="1" t="s">
        <v>384</v>
      </c>
      <c r="J53" s="27"/>
      <c r="K53" s="12"/>
    </row>
    <row r="54" spans="1:25">
      <c r="A54" s="109">
        <v>204</v>
      </c>
      <c r="B54" s="1" t="s">
        <v>385</v>
      </c>
      <c r="C54" s="62" t="s">
        <v>386</v>
      </c>
      <c r="D54" s="1" t="s">
        <v>181</v>
      </c>
      <c r="E54" s="27"/>
      <c r="F54" s="35"/>
      <c r="G54" s="153">
        <v>102</v>
      </c>
      <c r="H54" s="1" t="s">
        <v>385</v>
      </c>
      <c r="I54" s="62" t="s">
        <v>386</v>
      </c>
      <c r="J54" s="34"/>
      <c r="K54" s="12"/>
      <c r="Y54" s="9"/>
    </row>
    <row r="55" spans="1:25">
      <c r="A55" s="109">
        <v>208</v>
      </c>
      <c r="B55" s="1" t="s">
        <v>387</v>
      </c>
      <c r="C55" s="62" t="s">
        <v>388</v>
      </c>
      <c r="D55" s="1" t="s">
        <v>181</v>
      </c>
      <c r="E55" s="27"/>
      <c r="F55" s="35"/>
      <c r="G55" s="153">
        <v>104</v>
      </c>
      <c r="H55" s="62" t="s">
        <v>387</v>
      </c>
      <c r="I55" s="62" t="s">
        <v>388</v>
      </c>
      <c r="J55" s="34"/>
      <c r="K55" s="12"/>
      <c r="Y55" s="9"/>
    </row>
    <row r="56" spans="1:25" ht="13" thickBot="1">
      <c r="A56" s="212">
        <v>212</v>
      </c>
      <c r="B56" s="207" t="s">
        <v>389</v>
      </c>
      <c r="C56" s="213" t="s">
        <v>390</v>
      </c>
      <c r="D56" s="207" t="s">
        <v>181</v>
      </c>
      <c r="E56" s="214"/>
      <c r="F56" s="35"/>
      <c r="G56" s="217">
        <v>106</v>
      </c>
      <c r="H56" s="213" t="s">
        <v>389</v>
      </c>
      <c r="I56" s="213" t="s">
        <v>390</v>
      </c>
      <c r="J56" s="218"/>
      <c r="K56" s="12"/>
      <c r="Y56" s="9"/>
    </row>
    <row r="57" spans="1:25" ht="13" thickBot="1">
      <c r="A57" s="220">
        <v>216</v>
      </c>
      <c r="B57" s="221" t="s">
        <v>391</v>
      </c>
      <c r="C57" s="222" t="s">
        <v>392</v>
      </c>
      <c r="D57" s="221" t="s">
        <v>181</v>
      </c>
      <c r="E57" s="223"/>
      <c r="F57" s="35"/>
      <c r="G57" s="224">
        <v>108</v>
      </c>
      <c r="H57" s="222" t="s">
        <v>391</v>
      </c>
      <c r="I57" s="222" t="s">
        <v>392</v>
      </c>
      <c r="J57" s="225"/>
      <c r="K57" s="12"/>
      <c r="Y57" s="9"/>
    </row>
    <row r="58" spans="1:25">
      <c r="B58" s="35"/>
      <c r="C58" s="35"/>
      <c r="D58" s="35"/>
      <c r="E58" s="35"/>
      <c r="F58" s="35"/>
      <c r="G58" s="37"/>
      <c r="K58" s="12"/>
      <c r="L58" s="12"/>
    </row>
    <row r="59" spans="1:25">
      <c r="B59" s="35"/>
      <c r="C59" s="35"/>
      <c r="D59" s="35"/>
      <c r="E59" s="35"/>
      <c r="F59" s="35"/>
      <c r="H59" s="38"/>
      <c r="I59" s="38"/>
      <c r="J59" s="38"/>
      <c r="K59" s="12"/>
      <c r="L59" s="12"/>
    </row>
    <row r="60" spans="1:25">
      <c r="G60" s="37"/>
      <c r="H60" s="35"/>
      <c r="I60" s="35"/>
      <c r="J60" s="35"/>
      <c r="K60" s="12"/>
      <c r="L60" s="12"/>
    </row>
    <row r="61" spans="1:25">
      <c r="G61" s="37"/>
      <c r="H61" s="35"/>
      <c r="I61" s="35"/>
      <c r="J61" s="35"/>
      <c r="K61" s="12"/>
      <c r="L61" s="12"/>
    </row>
    <row r="62" spans="1:25">
      <c r="G62" s="37"/>
      <c r="H62" s="35"/>
      <c r="I62" s="35"/>
      <c r="J62" s="35"/>
      <c r="K62" s="12"/>
      <c r="L62" s="12"/>
    </row>
    <row r="63" spans="1:25">
      <c r="G63" s="37"/>
      <c r="H63" s="35"/>
      <c r="I63" s="35"/>
      <c r="J63" s="35"/>
      <c r="K63" s="12"/>
      <c r="L63" s="12"/>
      <c r="M63" s="12"/>
      <c r="N63" s="12"/>
      <c r="O63" s="12"/>
      <c r="P63" s="12"/>
    </row>
    <row r="64" spans="1:25">
      <c r="G64" s="37"/>
      <c r="H64" s="35"/>
      <c r="I64" s="35"/>
      <c r="J64" s="35"/>
      <c r="K64" s="12"/>
      <c r="L64" s="12"/>
      <c r="M64" s="12"/>
      <c r="N64" s="12"/>
      <c r="O64" s="12"/>
      <c r="P64" s="12"/>
    </row>
    <row r="65" spans="1:16">
      <c r="B65" s="35"/>
      <c r="C65" s="35"/>
      <c r="D65" s="35"/>
      <c r="E65" s="35"/>
      <c r="F65" s="35"/>
      <c r="G65" s="37"/>
      <c r="H65" s="35"/>
      <c r="I65" s="35"/>
      <c r="J65" s="35"/>
      <c r="K65" s="12"/>
      <c r="L65" s="12"/>
      <c r="M65" s="12"/>
      <c r="N65" s="12"/>
      <c r="O65" s="12"/>
      <c r="P65" s="12"/>
    </row>
    <row r="66" spans="1:16">
      <c r="B66" s="35"/>
      <c r="C66" s="35"/>
      <c r="D66" s="35"/>
      <c r="E66" s="35"/>
      <c r="F66" s="35"/>
      <c r="G66" s="37"/>
      <c r="H66" s="35"/>
      <c r="I66" s="35"/>
      <c r="J66" s="35"/>
      <c r="K66" s="12"/>
      <c r="L66" s="12"/>
      <c r="M66" s="12"/>
      <c r="N66" s="12"/>
      <c r="O66" s="12"/>
      <c r="P66" s="12"/>
    </row>
    <row r="67" spans="1:16">
      <c r="B67" s="35"/>
      <c r="C67" s="35"/>
      <c r="D67" s="35"/>
      <c r="E67" s="35"/>
      <c r="F67" s="35"/>
      <c r="G67" s="37"/>
      <c r="H67" s="35"/>
      <c r="I67" s="35"/>
      <c r="J67" s="35"/>
      <c r="K67" s="12"/>
      <c r="L67" s="12"/>
      <c r="M67" s="12"/>
      <c r="N67" s="12"/>
      <c r="O67" s="12"/>
      <c r="P67" s="12"/>
    </row>
    <row r="68" spans="1:16">
      <c r="B68" s="35"/>
      <c r="C68" s="35"/>
      <c r="D68" s="35"/>
      <c r="E68" s="35"/>
      <c r="F68" s="35"/>
      <c r="G68" s="37"/>
      <c r="H68" s="35"/>
      <c r="I68" s="35"/>
      <c r="J68" s="35"/>
      <c r="K68" s="12"/>
      <c r="L68" s="12"/>
      <c r="M68" s="12"/>
      <c r="N68" s="12"/>
      <c r="O68" s="12"/>
      <c r="P68" s="12"/>
    </row>
    <row r="69" spans="1:16">
      <c r="B69" s="35"/>
      <c r="C69" s="35"/>
      <c r="D69" s="35"/>
      <c r="E69" s="35"/>
      <c r="F69" s="35"/>
      <c r="G69" s="37"/>
      <c r="H69" s="35"/>
      <c r="I69" s="35"/>
      <c r="J69" s="35"/>
      <c r="K69" s="12"/>
      <c r="L69" s="12"/>
      <c r="M69" s="12"/>
      <c r="N69" s="12"/>
      <c r="O69" s="12"/>
      <c r="P69" s="12"/>
    </row>
    <row r="70" spans="1:16">
      <c r="B70" s="35"/>
      <c r="C70" s="35"/>
      <c r="D70" s="35"/>
      <c r="E70" s="35"/>
      <c r="F70" s="35"/>
      <c r="G70" s="37"/>
      <c r="H70" s="35"/>
      <c r="I70" s="35"/>
      <c r="J70" s="35"/>
      <c r="K70" s="12"/>
      <c r="L70" s="12"/>
      <c r="M70" s="12"/>
      <c r="N70" s="12"/>
      <c r="O70" s="12"/>
      <c r="P70" s="12"/>
    </row>
    <row r="71" spans="1:16">
      <c r="B71" s="35"/>
      <c r="C71" s="35"/>
      <c r="D71" s="35"/>
      <c r="E71" s="35"/>
      <c r="F71" s="35"/>
      <c r="G71" s="37"/>
      <c r="H71" s="35"/>
      <c r="I71" s="35"/>
      <c r="J71" s="35"/>
      <c r="K71" s="12"/>
      <c r="L71" s="12"/>
      <c r="M71" s="12"/>
      <c r="N71" s="12"/>
      <c r="O71" s="12"/>
      <c r="P71" s="12"/>
    </row>
    <row r="72" spans="1:16">
      <c r="B72" s="35"/>
      <c r="C72" s="35"/>
      <c r="D72" s="35"/>
      <c r="E72" s="35"/>
      <c r="F72" s="35"/>
      <c r="G72" s="37"/>
      <c r="H72" s="35"/>
      <c r="I72" s="35"/>
      <c r="J72" s="35"/>
      <c r="K72" s="12"/>
      <c r="L72" s="12"/>
      <c r="M72" s="12"/>
      <c r="N72" s="12"/>
      <c r="O72" s="12"/>
      <c r="P72" s="12"/>
    </row>
    <row r="73" spans="1:16">
      <c r="B73" s="35"/>
      <c r="C73" s="35"/>
      <c r="D73" s="35"/>
      <c r="E73" s="35"/>
      <c r="F73" s="35"/>
      <c r="G73" s="37"/>
      <c r="H73" s="35"/>
      <c r="I73" s="35"/>
      <c r="J73" s="35"/>
      <c r="K73" s="12"/>
      <c r="L73" s="12"/>
      <c r="M73" s="12"/>
      <c r="N73" s="12"/>
      <c r="O73" s="12"/>
      <c r="P73" s="12"/>
    </row>
    <row r="74" spans="1:16">
      <c r="B74" s="35"/>
      <c r="C74" s="35"/>
      <c r="D74" s="35"/>
      <c r="E74" s="35"/>
      <c r="F74" s="35"/>
      <c r="G74" s="37"/>
      <c r="H74" s="35"/>
      <c r="I74" s="35"/>
      <c r="J74" s="35"/>
      <c r="K74" s="12"/>
      <c r="L74" s="12"/>
      <c r="M74" s="12"/>
      <c r="N74" s="12"/>
      <c r="O74" s="12"/>
      <c r="P74" s="12"/>
    </row>
    <row r="75" spans="1:16">
      <c r="B75" s="35"/>
      <c r="C75" s="35"/>
      <c r="D75" s="35"/>
      <c r="E75" s="35"/>
      <c r="F75" s="35"/>
      <c r="G75" s="37"/>
      <c r="H75" s="35"/>
      <c r="I75" s="35"/>
      <c r="J75" s="35"/>
      <c r="K75" s="12"/>
      <c r="L75" s="12"/>
      <c r="M75" s="12"/>
      <c r="N75" s="12"/>
      <c r="O75" s="12"/>
      <c r="P75" s="12"/>
    </row>
    <row r="76" spans="1:16">
      <c r="B76" s="35"/>
      <c r="C76" s="35"/>
      <c r="D76" s="35"/>
      <c r="E76" s="35"/>
      <c r="F76" s="35"/>
      <c r="G76" s="37"/>
      <c r="H76" s="35"/>
      <c r="I76" s="35"/>
      <c r="J76" s="35"/>
      <c r="K76" s="12"/>
      <c r="L76" s="12"/>
      <c r="M76" s="12"/>
      <c r="N76" s="12"/>
      <c r="O76" s="12"/>
      <c r="P76" s="12"/>
    </row>
    <row r="77" spans="1:16">
      <c r="B77" s="35"/>
      <c r="C77" s="35"/>
      <c r="D77" s="35"/>
      <c r="E77" s="35"/>
      <c r="F77" s="35"/>
      <c r="G77" s="37"/>
      <c r="H77" s="35"/>
      <c r="I77" s="35"/>
      <c r="J77" s="35"/>
      <c r="K77" s="12"/>
      <c r="L77" s="12"/>
      <c r="M77" s="12"/>
      <c r="N77" s="12"/>
      <c r="O77" s="12"/>
      <c r="P77" s="12"/>
    </row>
    <row r="78" spans="1:16">
      <c r="B78" s="35"/>
      <c r="C78" s="35"/>
      <c r="D78" s="35"/>
      <c r="E78" s="35"/>
      <c r="F78" s="35"/>
      <c r="G78" s="37"/>
      <c r="H78" s="35"/>
      <c r="I78" s="35"/>
      <c r="J78" s="35"/>
      <c r="K78" s="12"/>
      <c r="L78" s="12"/>
      <c r="M78" s="12"/>
      <c r="N78" s="12"/>
      <c r="O78" s="12"/>
      <c r="P78" s="12"/>
    </row>
    <row r="80" spans="1:16" ht="13">
      <c r="A80" s="36"/>
    </row>
  </sheetData>
  <mergeCells count="23">
    <mergeCell ref="Q20:U20"/>
    <mergeCell ref="X20:Y20"/>
    <mergeCell ref="W17:Z17"/>
    <mergeCell ref="W26:Z26"/>
    <mergeCell ref="X27:Y27"/>
    <mergeCell ref="X24:Y24"/>
    <mergeCell ref="X22:Y22"/>
    <mergeCell ref="X18:Y18"/>
    <mergeCell ref="X19:Y19"/>
    <mergeCell ref="Z3:Z15"/>
    <mergeCell ref="W1:AA1"/>
    <mergeCell ref="AA3:AA15"/>
    <mergeCell ref="W31:Y31"/>
    <mergeCell ref="X23:Y23"/>
    <mergeCell ref="X21:Y21"/>
    <mergeCell ref="A1:E1"/>
    <mergeCell ref="Y3:Y15"/>
    <mergeCell ref="G1:J1"/>
    <mergeCell ref="L1:O1"/>
    <mergeCell ref="Q1:U1"/>
    <mergeCell ref="Q15:U16"/>
    <mergeCell ref="W3:W15"/>
    <mergeCell ref="X3:X15"/>
  </mergeCells>
  <phoneticPr fontId="7" type="noConversion"/>
  <pageMargins left="0.75" right="0.75" top="0.17" bottom="0.23" header="0.17" footer="0.21"/>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E8C6-AF64-4B1E-8C0A-CD1B655E278E}">
  <dimension ref="A1:Q23"/>
  <sheetViews>
    <sheetView showGridLines="0" zoomScale="85" zoomScaleNormal="85" workbookViewId="0">
      <selection activeCell="G27" sqref="G27"/>
    </sheetView>
  </sheetViews>
  <sheetFormatPr defaultColWidth="8.90625" defaultRowHeight="12.5"/>
  <cols>
    <col min="1" max="1" width="11.90625" style="108" customWidth="1"/>
    <col min="2" max="2" width="10.6328125" style="108" customWidth="1"/>
    <col min="3" max="4" width="12.54296875" style="108" customWidth="1"/>
    <col min="5" max="5" width="11.6328125" style="108" customWidth="1"/>
    <col min="6" max="6" width="24.6328125" style="108" customWidth="1"/>
    <col min="7" max="7" width="29.453125" style="108" customWidth="1"/>
    <col min="8" max="8" width="18.6328125" style="108" customWidth="1"/>
    <col min="9" max="9" width="15.6328125" style="108" customWidth="1"/>
    <col min="10" max="10" width="8.90625" style="108" customWidth="1"/>
    <col min="11" max="11" width="16.54296875" style="108" customWidth="1"/>
    <col min="12" max="12" width="4.54296875" style="108" customWidth="1"/>
    <col min="13" max="13" width="12.6328125" style="108" customWidth="1"/>
    <col min="14" max="16384" width="8.90625" style="108"/>
  </cols>
  <sheetData>
    <row r="1" spans="1:17" ht="13">
      <c r="A1" s="394" t="s">
        <v>108</v>
      </c>
      <c r="B1" s="395"/>
      <c r="C1" s="396"/>
      <c r="F1" s="393"/>
      <c r="G1" s="393"/>
      <c r="I1" s="393"/>
      <c r="J1" s="393"/>
    </row>
    <row r="2" spans="1:17">
      <c r="A2" s="188"/>
      <c r="B2" s="189" t="s">
        <v>109</v>
      </c>
      <c r="C2" s="190" t="s">
        <v>110</v>
      </c>
    </row>
    <row r="3" spans="1:17">
      <c r="A3" s="208" t="s">
        <v>688</v>
      </c>
      <c r="B3" s="189">
        <v>0</v>
      </c>
      <c r="C3" s="190">
        <v>0</v>
      </c>
    </row>
    <row r="4" spans="1:17" ht="13" thickBot="1"/>
    <row r="5" spans="1:17" ht="13">
      <c r="A5" s="394" t="s">
        <v>111</v>
      </c>
      <c r="B5" s="395"/>
      <c r="C5" s="395"/>
      <c r="D5" s="396"/>
    </row>
    <row r="6" spans="1:17">
      <c r="A6" s="188"/>
      <c r="B6" s="189" t="s">
        <v>112</v>
      </c>
      <c r="C6" s="189" t="s">
        <v>113</v>
      </c>
      <c r="D6" s="190" t="s">
        <v>114</v>
      </c>
    </row>
    <row r="7" spans="1:17">
      <c r="A7" s="208" t="s">
        <v>688</v>
      </c>
      <c r="B7" s="210">
        <v>0</v>
      </c>
      <c r="C7" s="210">
        <v>0</v>
      </c>
      <c r="D7" s="211">
        <v>1</v>
      </c>
    </row>
    <row r="8" spans="1:17" ht="13" thickBot="1"/>
    <row r="9" spans="1:17" ht="13">
      <c r="A9" s="399" t="s">
        <v>115</v>
      </c>
      <c r="B9" s="400"/>
      <c r="C9" s="400"/>
      <c r="D9" s="401"/>
    </row>
    <row r="10" spans="1:17" ht="14">
      <c r="A10" s="124" t="s">
        <v>116</v>
      </c>
      <c r="B10" s="115" t="s">
        <v>117</v>
      </c>
      <c r="C10" s="116" t="s">
        <v>118</v>
      </c>
      <c r="D10" s="125" t="s">
        <v>119</v>
      </c>
    </row>
    <row r="11" spans="1:17" ht="100.5" thickBot="1">
      <c r="A11" s="126">
        <v>0</v>
      </c>
      <c r="B11" s="127" t="s">
        <v>120</v>
      </c>
      <c r="C11" s="128" t="s">
        <v>121</v>
      </c>
      <c r="D11" s="129" t="s">
        <v>122</v>
      </c>
    </row>
    <row r="12" spans="1:17" ht="13.5" thickBot="1">
      <c r="O12" s="397"/>
      <c r="P12" s="397"/>
      <c r="Q12" s="397"/>
    </row>
    <row r="13" spans="1:17" ht="13">
      <c r="A13" s="399" t="s">
        <v>123</v>
      </c>
      <c r="B13" s="400"/>
      <c r="C13" s="400"/>
      <c r="D13" s="401"/>
      <c r="P13" s="117"/>
    </row>
    <row r="14" spans="1:17" ht="14">
      <c r="A14" s="124" t="s">
        <v>116</v>
      </c>
      <c r="B14" s="115" t="s">
        <v>117</v>
      </c>
      <c r="C14" s="116" t="s">
        <v>118</v>
      </c>
      <c r="D14" s="125" t="s">
        <v>119</v>
      </c>
    </row>
    <row r="15" spans="1:17" ht="38" thickBot="1">
      <c r="A15" s="126">
        <v>0</v>
      </c>
      <c r="B15" s="127" t="s">
        <v>124</v>
      </c>
      <c r="C15" s="128" t="s">
        <v>121</v>
      </c>
      <c r="D15" s="129" t="s">
        <v>125</v>
      </c>
    </row>
    <row r="16" spans="1:17" ht="13" thickBot="1"/>
    <row r="17" spans="6:17">
      <c r="F17" s="402" t="s">
        <v>125</v>
      </c>
      <c r="G17" s="403"/>
      <c r="H17" s="403"/>
      <c r="I17" s="404"/>
    </row>
    <row r="18" spans="6:17" ht="14.5">
      <c r="F18" s="130" t="s">
        <v>126</v>
      </c>
      <c r="G18" s="114" t="s">
        <v>127</v>
      </c>
      <c r="H18" s="114" t="s">
        <v>128</v>
      </c>
      <c r="I18" s="131" t="s">
        <v>129</v>
      </c>
    </row>
    <row r="19" spans="6:17" ht="15" thickBot="1">
      <c r="F19" s="182" t="s">
        <v>130</v>
      </c>
      <c r="G19" s="183" t="s">
        <v>131</v>
      </c>
      <c r="H19" s="183" t="s">
        <v>132</v>
      </c>
      <c r="I19" s="183" t="s">
        <v>133</v>
      </c>
    </row>
    <row r="20" spans="6:17" ht="15.5" thickBot="1">
      <c r="F20" s="182" t="s">
        <v>134</v>
      </c>
      <c r="G20" s="183" t="s">
        <v>135</v>
      </c>
      <c r="H20" s="183" t="s">
        <v>136</v>
      </c>
      <c r="I20" s="183" t="s">
        <v>137</v>
      </c>
    </row>
    <row r="21" spans="6:17" ht="17" thickBot="1">
      <c r="F21" s="182" t="s">
        <v>138</v>
      </c>
      <c r="G21" s="183" t="s">
        <v>139</v>
      </c>
      <c r="H21" s="183" t="s">
        <v>140</v>
      </c>
      <c r="I21" s="183" t="s">
        <v>141</v>
      </c>
      <c r="O21" s="398"/>
      <c r="P21" s="398"/>
      <c r="Q21" s="398"/>
    </row>
    <row r="22" spans="6:17" ht="17" thickBot="1">
      <c r="F22" s="184"/>
      <c r="G22" s="183" t="s">
        <v>142</v>
      </c>
      <c r="H22" s="185"/>
      <c r="I22" s="185"/>
      <c r="P22" s="117"/>
    </row>
    <row r="23" spans="6:17" ht="15" thickBot="1">
      <c r="F23" s="132"/>
      <c r="G23" s="133"/>
      <c r="H23" s="134"/>
      <c r="I23" s="135"/>
    </row>
  </sheetData>
  <mergeCells count="9">
    <mergeCell ref="I1:J1"/>
    <mergeCell ref="F1:G1"/>
    <mergeCell ref="A1:C1"/>
    <mergeCell ref="O12:Q12"/>
    <mergeCell ref="O21:Q21"/>
    <mergeCell ref="A9:D9"/>
    <mergeCell ref="F17:I17"/>
    <mergeCell ref="A5:D5"/>
    <mergeCell ref="A13:D13"/>
  </mergeCells>
  <phoneticPr fontId="3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61"/>
  <sheetViews>
    <sheetView showGridLines="0" topLeftCell="A22" zoomScale="85" zoomScaleNormal="85" workbookViewId="0">
      <selection sqref="A1:D1"/>
    </sheetView>
  </sheetViews>
  <sheetFormatPr defaultRowHeight="12.5"/>
  <cols>
    <col min="1" max="1" width="7.453125" style="26" customWidth="1"/>
    <col min="2" max="2" width="30.453125" style="26" customWidth="1"/>
    <col min="3" max="3" width="11.6328125" style="26" customWidth="1"/>
    <col min="4" max="4" width="26" style="26" customWidth="1"/>
    <col min="5" max="5" width="2.6328125" customWidth="1"/>
    <col min="6" max="6" width="6.54296875" customWidth="1"/>
    <col min="7" max="7" width="82.54296875" customWidth="1"/>
    <col min="8" max="8" width="10" style="26" customWidth="1"/>
    <col min="9" max="9" width="6.90625" style="26" customWidth="1"/>
    <col min="13" max="13" width="18.453125" customWidth="1"/>
  </cols>
  <sheetData>
    <row r="1" spans="1:14" s="3" customFormat="1" ht="13.25" customHeight="1">
      <c r="A1" s="358" t="s">
        <v>393</v>
      </c>
      <c r="B1" s="359"/>
      <c r="C1" s="363"/>
      <c r="D1" s="360"/>
      <c r="E1" s="68"/>
      <c r="F1" s="405" t="s">
        <v>394</v>
      </c>
      <c r="G1" s="406"/>
      <c r="H1" s="406"/>
      <c r="I1" s="407"/>
      <c r="J1" s="9"/>
      <c r="K1" s="9"/>
      <c r="L1" s="9"/>
      <c r="M1" s="9"/>
      <c r="N1" s="9"/>
    </row>
    <row r="2" spans="1:14" s="3" customFormat="1" ht="13">
      <c r="A2" s="32" t="s">
        <v>2</v>
      </c>
      <c r="B2" s="31" t="s">
        <v>144</v>
      </c>
      <c r="C2" s="121" t="s">
        <v>174</v>
      </c>
      <c r="D2" s="33" t="s">
        <v>4</v>
      </c>
      <c r="E2" s="4"/>
      <c r="F2" s="32" t="s">
        <v>2</v>
      </c>
      <c r="G2" s="31" t="s">
        <v>144</v>
      </c>
      <c r="H2" s="1" t="s">
        <v>174</v>
      </c>
      <c r="I2" s="27" t="s">
        <v>176</v>
      </c>
      <c r="J2" s="9"/>
      <c r="K2" s="9"/>
      <c r="L2" s="9"/>
      <c r="M2" s="9"/>
      <c r="N2" s="9"/>
    </row>
    <row r="3" spans="1:14" s="3" customFormat="1">
      <c r="A3" s="161">
        <v>0</v>
      </c>
      <c r="B3" s="164" t="s">
        <v>395</v>
      </c>
      <c r="C3" s="170"/>
      <c r="D3" s="171" t="s">
        <v>304</v>
      </c>
      <c r="E3" s="52"/>
      <c r="F3" s="55">
        <v>0</v>
      </c>
      <c r="G3" s="58" t="s">
        <v>396</v>
      </c>
      <c r="H3" s="1" t="s">
        <v>397</v>
      </c>
      <c r="I3" s="27" t="s">
        <v>186</v>
      </c>
      <c r="J3" s="9"/>
      <c r="K3" s="9"/>
      <c r="L3" s="9"/>
      <c r="M3" s="9"/>
      <c r="N3" s="9"/>
    </row>
    <row r="4" spans="1:14" s="3" customFormat="1" ht="25">
      <c r="A4" s="153">
        <f>A3+1</f>
        <v>1</v>
      </c>
      <c r="B4" s="1" t="s">
        <v>398</v>
      </c>
      <c r="C4" s="122" t="s">
        <v>399</v>
      </c>
      <c r="D4" s="155" t="s">
        <v>400</v>
      </c>
      <c r="E4" s="52"/>
      <c r="F4" s="55">
        <v>4</v>
      </c>
      <c r="G4" s="1" t="s">
        <v>401</v>
      </c>
      <c r="H4" s="1" t="s">
        <v>402</v>
      </c>
      <c r="I4" s="27" t="s">
        <v>186</v>
      </c>
      <c r="J4" s="9"/>
      <c r="K4" s="9"/>
      <c r="L4" s="9"/>
      <c r="M4" s="9"/>
      <c r="N4" s="9"/>
    </row>
    <row r="5" spans="1:14" s="3" customFormat="1">
      <c r="A5" s="55">
        <f t="shared" ref="A5:A34" si="0">A4+1</f>
        <v>2</v>
      </c>
      <c r="B5" s="1" t="s">
        <v>403</v>
      </c>
      <c r="C5" s="160" t="s">
        <v>404</v>
      </c>
      <c r="D5" s="40"/>
      <c r="E5" s="52"/>
      <c r="F5" s="55">
        <v>8</v>
      </c>
      <c r="G5" s="1" t="s">
        <v>405</v>
      </c>
      <c r="H5" s="1" t="s">
        <v>406</v>
      </c>
      <c r="I5" s="27" t="s">
        <v>186</v>
      </c>
      <c r="J5" s="9"/>
      <c r="K5" s="9"/>
      <c r="L5" s="9"/>
      <c r="M5" s="9"/>
      <c r="N5" s="9"/>
    </row>
    <row r="6" spans="1:14" s="3" customFormat="1">
      <c r="A6" s="55">
        <f t="shared" si="0"/>
        <v>3</v>
      </c>
      <c r="B6" s="1" t="s">
        <v>407</v>
      </c>
      <c r="C6" s="160" t="s">
        <v>408</v>
      </c>
      <c r="D6" s="40"/>
      <c r="E6" s="9"/>
      <c r="F6" s="55">
        <v>12</v>
      </c>
      <c r="G6" s="1" t="s">
        <v>409</v>
      </c>
      <c r="H6" s="1" t="s">
        <v>410</v>
      </c>
      <c r="I6" s="27" t="s">
        <v>186</v>
      </c>
      <c r="J6" s="9"/>
      <c r="K6" s="9"/>
      <c r="L6" s="9"/>
      <c r="M6" s="9"/>
      <c r="N6" s="9"/>
    </row>
    <row r="7" spans="1:14" s="3" customFormat="1">
      <c r="A7" s="55">
        <f>A6+1</f>
        <v>4</v>
      </c>
      <c r="B7" s="1" t="s">
        <v>411</v>
      </c>
      <c r="C7" s="160" t="s">
        <v>412</v>
      </c>
      <c r="D7" s="27"/>
      <c r="E7" s="9"/>
      <c r="F7" s="55">
        <v>16</v>
      </c>
      <c r="G7" s="1" t="s">
        <v>413</v>
      </c>
      <c r="H7" s="1" t="s">
        <v>414</v>
      </c>
      <c r="I7" s="27" t="s">
        <v>186</v>
      </c>
      <c r="J7" s="9"/>
      <c r="K7" s="9"/>
      <c r="L7" s="9"/>
      <c r="M7" s="9"/>
      <c r="N7" s="9"/>
    </row>
    <row r="8" spans="1:14" s="3" customFormat="1">
      <c r="A8" s="55">
        <f t="shared" si="0"/>
        <v>5</v>
      </c>
      <c r="B8" s="1" t="s">
        <v>690</v>
      </c>
      <c r="C8" s="160" t="s">
        <v>415</v>
      </c>
      <c r="D8" s="40"/>
      <c r="E8" s="9"/>
      <c r="F8" s="55">
        <v>20</v>
      </c>
      <c r="G8" s="1" t="s">
        <v>416</v>
      </c>
      <c r="H8" s="1" t="s">
        <v>417</v>
      </c>
      <c r="I8" s="27" t="s">
        <v>186</v>
      </c>
      <c r="J8" s="9"/>
      <c r="K8" s="9"/>
      <c r="L8" s="9"/>
      <c r="M8" s="9"/>
      <c r="N8" s="9"/>
    </row>
    <row r="9" spans="1:14" s="3" customFormat="1">
      <c r="A9" s="55">
        <f t="shared" si="0"/>
        <v>6</v>
      </c>
      <c r="B9" s="1" t="s">
        <v>418</v>
      </c>
      <c r="C9" s="160" t="s">
        <v>419</v>
      </c>
      <c r="D9" s="27"/>
      <c r="E9" s="9"/>
      <c r="F9" s="54">
        <v>24</v>
      </c>
      <c r="G9" s="1" t="s">
        <v>420</v>
      </c>
      <c r="H9" s="1" t="s">
        <v>421</v>
      </c>
      <c r="I9" s="27" t="s">
        <v>186</v>
      </c>
      <c r="J9" s="9"/>
      <c r="K9" s="9"/>
      <c r="L9" s="9"/>
      <c r="M9" s="9"/>
      <c r="N9" s="9"/>
    </row>
    <row r="10" spans="1:14" s="3" customFormat="1" ht="13.25" customHeight="1">
      <c r="A10" s="55">
        <f t="shared" si="0"/>
        <v>7</v>
      </c>
      <c r="B10" s="1" t="s">
        <v>422</v>
      </c>
      <c r="C10" s="160" t="s">
        <v>423</v>
      </c>
      <c r="D10" s="27"/>
      <c r="E10" s="9"/>
      <c r="F10" s="413">
        <v>28</v>
      </c>
      <c r="G10" s="408" t="s">
        <v>424</v>
      </c>
      <c r="H10" s="377" t="s">
        <v>425</v>
      </c>
      <c r="I10" s="410" t="s">
        <v>186</v>
      </c>
      <c r="J10" s="391"/>
      <c r="K10" s="9"/>
      <c r="L10" s="9"/>
      <c r="M10" s="9"/>
      <c r="N10" s="9"/>
    </row>
    <row r="11" spans="1:14" s="3" customFormat="1">
      <c r="A11" s="55">
        <f t="shared" si="0"/>
        <v>8</v>
      </c>
      <c r="B11" s="1" t="s">
        <v>426</v>
      </c>
      <c r="C11" s="160" t="s">
        <v>427</v>
      </c>
      <c r="D11" s="27"/>
      <c r="E11" s="9"/>
      <c r="F11" s="414"/>
      <c r="G11" s="408"/>
      <c r="H11" s="378"/>
      <c r="I11" s="411"/>
      <c r="J11" s="391"/>
      <c r="K11" s="9"/>
      <c r="L11" s="9"/>
      <c r="M11" s="9"/>
      <c r="N11" s="9"/>
    </row>
    <row r="12" spans="1:14" s="3" customFormat="1">
      <c r="A12" s="55">
        <f t="shared" si="0"/>
        <v>9</v>
      </c>
      <c r="B12" s="1" t="s">
        <v>428</v>
      </c>
      <c r="C12" s="160" t="s">
        <v>429</v>
      </c>
      <c r="D12" s="27"/>
      <c r="E12" s="9"/>
      <c r="F12" s="414"/>
      <c r="G12" s="408"/>
      <c r="H12" s="378"/>
      <c r="I12" s="411"/>
      <c r="J12" s="391"/>
      <c r="K12"/>
      <c r="L12"/>
      <c r="M12"/>
      <c r="N12"/>
    </row>
    <row r="13" spans="1:14" s="3" customFormat="1">
      <c r="A13" s="55">
        <f t="shared" si="0"/>
        <v>10</v>
      </c>
      <c r="B13" s="1" t="s">
        <v>430</v>
      </c>
      <c r="C13" s="160" t="s">
        <v>431</v>
      </c>
      <c r="D13" s="40"/>
      <c r="E13" s="9"/>
      <c r="F13" s="414"/>
      <c r="G13" s="408"/>
      <c r="H13" s="378"/>
      <c r="I13" s="411"/>
      <c r="J13" s="391"/>
      <c r="K13"/>
      <c r="L13"/>
      <c r="M13"/>
      <c r="N13"/>
    </row>
    <row r="14" spans="1:14" s="3" customFormat="1">
      <c r="A14" s="55">
        <f t="shared" si="0"/>
        <v>11</v>
      </c>
      <c r="B14" s="1" t="s">
        <v>432</v>
      </c>
      <c r="C14" s="160" t="s">
        <v>433</v>
      </c>
      <c r="D14" s="40"/>
      <c r="E14" s="9"/>
      <c r="F14" s="414"/>
      <c r="G14" s="408"/>
      <c r="H14" s="378"/>
      <c r="I14" s="411"/>
      <c r="J14" s="391"/>
      <c r="K14"/>
      <c r="L14"/>
      <c r="M14"/>
      <c r="N14"/>
    </row>
    <row r="15" spans="1:14" s="3" customFormat="1">
      <c r="A15" s="55">
        <f t="shared" si="0"/>
        <v>12</v>
      </c>
      <c r="B15" s="1" t="s">
        <v>434</v>
      </c>
      <c r="C15" s="160" t="s">
        <v>435</v>
      </c>
      <c r="D15" s="27"/>
      <c r="E15" s="9"/>
      <c r="F15" s="414"/>
      <c r="G15" s="408"/>
      <c r="H15" s="378"/>
      <c r="I15" s="411"/>
      <c r="J15"/>
      <c r="K15"/>
      <c r="L15"/>
      <c r="M15"/>
      <c r="N15"/>
    </row>
    <row r="16" spans="1:14" s="3" customFormat="1">
      <c r="A16" s="161">
        <f t="shared" si="0"/>
        <v>13</v>
      </c>
      <c r="B16" s="164" t="s">
        <v>398</v>
      </c>
      <c r="C16" s="175" t="s">
        <v>436</v>
      </c>
      <c r="D16" s="163" t="s">
        <v>190</v>
      </c>
      <c r="E16" s="9"/>
      <c r="F16" s="414"/>
      <c r="G16" s="408"/>
      <c r="H16" s="378"/>
      <c r="I16" s="411"/>
      <c r="J16"/>
      <c r="K16"/>
      <c r="L16"/>
      <c r="M16"/>
      <c r="N16"/>
    </row>
    <row r="17" spans="1:14" s="3" customFormat="1" ht="13.25" customHeight="1">
      <c r="A17" s="55">
        <f t="shared" si="0"/>
        <v>14</v>
      </c>
      <c r="B17" s="1" t="s">
        <v>437</v>
      </c>
      <c r="C17" s="160" t="s">
        <v>438</v>
      </c>
      <c r="D17" s="27"/>
      <c r="E17" s="9"/>
      <c r="F17" s="414"/>
      <c r="G17" s="408"/>
      <c r="H17" s="378"/>
      <c r="I17" s="411"/>
      <c r="J17"/>
      <c r="K17"/>
      <c r="L17"/>
      <c r="M17"/>
      <c r="N17"/>
    </row>
    <row r="18" spans="1:14" s="3" customFormat="1">
      <c r="A18" s="273">
        <f t="shared" si="0"/>
        <v>15</v>
      </c>
      <c r="B18" s="164" t="s">
        <v>691</v>
      </c>
      <c r="C18" s="170" t="s">
        <v>340</v>
      </c>
      <c r="D18" s="163" t="s">
        <v>190</v>
      </c>
      <c r="E18" s="18"/>
      <c r="F18" s="414"/>
      <c r="G18" s="408"/>
      <c r="H18" s="378"/>
      <c r="I18" s="411"/>
      <c r="J18"/>
      <c r="K18"/>
      <c r="L18"/>
      <c r="M18"/>
      <c r="N18"/>
    </row>
    <row r="19" spans="1:14" s="3" customFormat="1">
      <c r="A19" s="161">
        <f>A18+1</f>
        <v>16</v>
      </c>
      <c r="B19" s="164" t="s">
        <v>439</v>
      </c>
      <c r="C19" s="175"/>
      <c r="D19" s="165" t="s">
        <v>312</v>
      </c>
      <c r="E19" s="18"/>
      <c r="F19" s="414"/>
      <c r="G19" s="408"/>
      <c r="H19" s="378"/>
      <c r="I19" s="411"/>
      <c r="J19"/>
      <c r="K19"/>
      <c r="L19"/>
      <c r="M19"/>
      <c r="N19"/>
    </row>
    <row r="20" spans="1:14" s="3" customFormat="1" ht="25.5" thickBot="1">
      <c r="A20" s="273">
        <f t="shared" si="0"/>
        <v>17</v>
      </c>
      <c r="B20" s="164" t="s">
        <v>440</v>
      </c>
      <c r="C20" s="170" t="s">
        <v>441</v>
      </c>
      <c r="D20" s="177" t="s">
        <v>442</v>
      </c>
      <c r="E20" s="18"/>
      <c r="F20" s="415"/>
      <c r="G20" s="409"/>
      <c r="H20" s="379"/>
      <c r="I20" s="412"/>
      <c r="J20"/>
      <c r="K20"/>
      <c r="L20"/>
      <c r="M20"/>
      <c r="N20"/>
    </row>
    <row r="21" spans="1:14" s="3" customFormat="1">
      <c r="A21" s="161">
        <f>A20+1</f>
        <v>18</v>
      </c>
      <c r="B21" s="164" t="s">
        <v>443</v>
      </c>
      <c r="C21" s="175"/>
      <c r="D21" s="165" t="s">
        <v>312</v>
      </c>
      <c r="E21" s="18"/>
      <c r="F21" s="66"/>
      <c r="G21" s="38"/>
      <c r="H21" s="26"/>
      <c r="I21" s="26"/>
      <c r="J21"/>
      <c r="K21"/>
      <c r="L21"/>
      <c r="M21"/>
      <c r="N21"/>
    </row>
    <row r="22" spans="1:14" s="3" customFormat="1">
      <c r="A22" s="161">
        <f t="shared" si="0"/>
        <v>19</v>
      </c>
      <c r="B22" s="164" t="s">
        <v>444</v>
      </c>
      <c r="C22" s="175"/>
      <c r="D22" s="165" t="s">
        <v>312</v>
      </c>
      <c r="E22" s="18"/>
      <c r="F22" s="66"/>
      <c r="G22" s="67"/>
      <c r="H22" s="26"/>
      <c r="I22" s="26"/>
      <c r="J22"/>
      <c r="K22"/>
      <c r="L22"/>
      <c r="M22"/>
      <c r="N22"/>
    </row>
    <row r="23" spans="1:14" s="3" customFormat="1">
      <c r="A23" s="55">
        <f t="shared" si="0"/>
        <v>20</v>
      </c>
      <c r="B23" s="1" t="s">
        <v>445</v>
      </c>
      <c r="C23" s="160" t="s">
        <v>446</v>
      </c>
      <c r="D23" s="27"/>
      <c r="E23" s="18"/>
      <c r="F23" s="66"/>
      <c r="G23" s="67"/>
      <c r="H23" s="26"/>
      <c r="I23" s="26"/>
      <c r="J23"/>
      <c r="K23"/>
      <c r="L23"/>
      <c r="M23"/>
      <c r="N23"/>
    </row>
    <row r="24" spans="1:14">
      <c r="A24" s="55">
        <f t="shared" si="0"/>
        <v>21</v>
      </c>
      <c r="B24" s="1" t="s">
        <v>447</v>
      </c>
      <c r="C24" s="160" t="s">
        <v>448</v>
      </c>
      <c r="D24" s="40"/>
      <c r="E24" s="18"/>
      <c r="F24" s="66"/>
      <c r="G24" s="67"/>
    </row>
    <row r="25" spans="1:14">
      <c r="A25" s="55">
        <f t="shared" si="0"/>
        <v>22</v>
      </c>
      <c r="B25" s="1" t="s">
        <v>449</v>
      </c>
      <c r="C25" s="160" t="s">
        <v>450</v>
      </c>
      <c r="D25" s="40"/>
      <c r="E25" s="18"/>
      <c r="F25" s="66"/>
      <c r="G25" s="67"/>
    </row>
    <row r="26" spans="1:14">
      <c r="A26" s="55">
        <f t="shared" si="0"/>
        <v>23</v>
      </c>
      <c r="B26" s="1" t="s">
        <v>451</v>
      </c>
      <c r="C26" s="160" t="s">
        <v>452</v>
      </c>
      <c r="D26" s="40"/>
      <c r="E26" s="18"/>
      <c r="F26" s="66"/>
      <c r="G26" s="67"/>
    </row>
    <row r="27" spans="1:14">
      <c r="A27" s="161">
        <f t="shared" si="0"/>
        <v>24</v>
      </c>
      <c r="B27" s="164" t="s">
        <v>453</v>
      </c>
      <c r="C27" s="175"/>
      <c r="D27" s="165" t="s">
        <v>312</v>
      </c>
      <c r="E27" s="18"/>
      <c r="F27" s="66"/>
      <c r="G27" s="67"/>
    </row>
    <row r="28" spans="1:14">
      <c r="A28" s="55">
        <f t="shared" si="0"/>
        <v>25</v>
      </c>
      <c r="B28" s="1" t="s">
        <v>454</v>
      </c>
      <c r="C28" s="160" t="s">
        <v>455</v>
      </c>
      <c r="D28" s="40"/>
      <c r="E28" s="18"/>
      <c r="G28" s="38"/>
    </row>
    <row r="29" spans="1:14">
      <c r="A29" s="55">
        <f t="shared" si="0"/>
        <v>26</v>
      </c>
      <c r="B29" s="1" t="s">
        <v>456</v>
      </c>
      <c r="C29" s="160" t="s">
        <v>457</v>
      </c>
      <c r="D29" s="40"/>
      <c r="E29" s="18"/>
    </row>
    <row r="30" spans="1:14">
      <c r="A30" s="55">
        <f t="shared" si="0"/>
        <v>27</v>
      </c>
      <c r="B30" s="1" t="s">
        <v>458</v>
      </c>
      <c r="C30" s="160" t="s">
        <v>459</v>
      </c>
      <c r="D30" s="40"/>
      <c r="E30" s="18"/>
    </row>
    <row r="31" spans="1:14" ht="25">
      <c r="A31" s="153">
        <f t="shared" si="0"/>
        <v>28</v>
      </c>
      <c r="B31" s="1" t="s">
        <v>699</v>
      </c>
      <c r="C31" s="122" t="s">
        <v>460</v>
      </c>
      <c r="D31" s="155" t="s">
        <v>461</v>
      </c>
      <c r="E31" s="18"/>
    </row>
    <row r="32" spans="1:14" ht="25">
      <c r="A32" s="153">
        <f t="shared" si="0"/>
        <v>29</v>
      </c>
      <c r="B32" s="1" t="s">
        <v>462</v>
      </c>
      <c r="C32" s="122" t="s">
        <v>463</v>
      </c>
      <c r="D32" s="155" t="s">
        <v>464</v>
      </c>
      <c r="E32" s="18"/>
    </row>
    <row r="33" spans="1:5">
      <c r="A33" s="153">
        <f t="shared" si="0"/>
        <v>30</v>
      </c>
      <c r="B33" s="1" t="s">
        <v>465</v>
      </c>
      <c r="C33" s="122" t="s">
        <v>466</v>
      </c>
      <c r="D33" s="27" t="s">
        <v>467</v>
      </c>
      <c r="E33" s="18"/>
    </row>
    <row r="34" spans="1:5">
      <c r="A34" s="55">
        <f t="shared" si="0"/>
        <v>31</v>
      </c>
      <c r="B34" s="1" t="s">
        <v>468</v>
      </c>
      <c r="C34" s="160" t="s">
        <v>469</v>
      </c>
      <c r="D34" s="27"/>
      <c r="E34" s="18"/>
    </row>
    <row r="35" spans="1:5">
      <c r="A35" s="55">
        <v>32</v>
      </c>
      <c r="B35" s="1" t="s">
        <v>470</v>
      </c>
      <c r="C35" s="160" t="s">
        <v>471</v>
      </c>
      <c r="D35" s="40"/>
      <c r="E35" s="18"/>
    </row>
    <row r="36" spans="1:5" ht="14" customHeight="1">
      <c r="A36" s="161">
        <v>33</v>
      </c>
      <c r="B36" s="164" t="s">
        <v>472</v>
      </c>
      <c r="C36" s="170" t="s">
        <v>473</v>
      </c>
      <c r="D36" s="165" t="s">
        <v>190</v>
      </c>
      <c r="E36" s="18"/>
    </row>
    <row r="37" spans="1:5" ht="14">
      <c r="A37" s="161">
        <v>34</v>
      </c>
      <c r="B37" s="164" t="s">
        <v>474</v>
      </c>
      <c r="C37" s="170" t="s">
        <v>475</v>
      </c>
      <c r="D37" s="165" t="s">
        <v>190</v>
      </c>
      <c r="E37" s="10"/>
    </row>
    <row r="38" spans="1:5" ht="14">
      <c r="A38" s="215">
        <v>35</v>
      </c>
      <c r="B38" s="219" t="s">
        <v>476</v>
      </c>
      <c r="C38" s="226" t="s">
        <v>270</v>
      </c>
      <c r="D38" s="216" t="s">
        <v>190</v>
      </c>
      <c r="E38" s="10"/>
    </row>
    <row r="39" spans="1:5">
      <c r="A39" s="1">
        <v>36</v>
      </c>
      <c r="B39" s="1" t="s">
        <v>477</v>
      </c>
      <c r="C39" s="1" t="s">
        <v>478</v>
      </c>
      <c r="D39" s="1" t="s">
        <v>479</v>
      </c>
    </row>
    <row r="40" spans="1:5">
      <c r="B40" s="35"/>
      <c r="C40" s="35"/>
    </row>
    <row r="41" spans="1:5">
      <c r="B41" s="35"/>
      <c r="C41" s="35"/>
    </row>
    <row r="44" spans="1:5">
      <c r="A44" s="43"/>
    </row>
    <row r="45" spans="1:5">
      <c r="A45" s="43"/>
      <c r="B45" s="35"/>
      <c r="C45" s="35"/>
      <c r="D45" s="35"/>
    </row>
    <row r="46" spans="1:5">
      <c r="A46" s="43"/>
      <c r="B46" s="35"/>
      <c r="C46" s="35"/>
      <c r="D46" s="35"/>
    </row>
    <row r="47" spans="1:5">
      <c r="A47" s="43"/>
    </row>
    <row r="48" spans="1:5">
      <c r="A48" s="43"/>
    </row>
    <row r="49" spans="1:1">
      <c r="A49" s="43"/>
    </row>
    <row r="50" spans="1:1">
      <c r="A50" s="43"/>
    </row>
    <row r="51" spans="1:1">
      <c r="A51" s="43"/>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row r="61" spans="1:1">
      <c r="A61" s="43"/>
    </row>
  </sheetData>
  <mergeCells count="7">
    <mergeCell ref="F1:I1"/>
    <mergeCell ref="A1:D1"/>
    <mergeCell ref="J10:J14"/>
    <mergeCell ref="G10:G20"/>
    <mergeCell ref="H10:H20"/>
    <mergeCell ref="I10:I20"/>
    <mergeCell ref="F10:F20"/>
  </mergeCells>
  <phoneticPr fontId="7" type="noConversion"/>
  <pageMargins left="0.75" right="0.75" top="1" bottom="1" header="0.5" footer="0.5"/>
  <pageSetup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E8F0-7898-4C78-8C79-CF744CC533B1}">
  <sheetPr>
    <tabColor rgb="FFFFFF00"/>
  </sheetPr>
  <dimension ref="A1:N121"/>
  <sheetViews>
    <sheetView topLeftCell="A113" zoomScale="115" zoomScaleNormal="115" workbookViewId="0">
      <selection activeCell="B110" sqref="B110"/>
    </sheetView>
  </sheetViews>
  <sheetFormatPr defaultColWidth="8.90625" defaultRowHeight="14"/>
  <cols>
    <col min="1" max="1" width="38" style="145" customWidth="1"/>
    <col min="2" max="2" width="41.36328125" style="145" customWidth="1"/>
    <col min="3" max="3" width="10.08984375" style="145" customWidth="1"/>
    <col min="4" max="4" width="11.54296875" style="145" customWidth="1"/>
    <col min="5" max="5" width="10.54296875" style="145" customWidth="1"/>
    <col min="6" max="9" width="8.90625" style="145"/>
    <col min="10" max="10" width="12.6328125" style="145" customWidth="1"/>
    <col min="11" max="11" width="24" style="145" customWidth="1"/>
    <col min="12" max="12" width="13.36328125" style="145" customWidth="1"/>
    <col min="13" max="13" width="8.90625" style="145" customWidth="1"/>
    <col min="14" max="16384" width="8.90625" style="145"/>
  </cols>
  <sheetData>
    <row r="1" spans="1:14" s="148" customFormat="1" ht="15.5">
      <c r="A1" s="249" t="s">
        <v>835</v>
      </c>
      <c r="B1" s="249" t="s">
        <v>836</v>
      </c>
      <c r="C1"/>
      <c r="D1"/>
      <c r="E1" s="416" t="s">
        <v>837</v>
      </c>
      <c r="F1" s="417"/>
      <c r="G1" s="417"/>
      <c r="H1" s="417"/>
      <c r="I1"/>
      <c r="J1" s="250"/>
      <c r="K1"/>
      <c r="L1"/>
      <c r="M1"/>
      <c r="N1"/>
    </row>
    <row r="2" spans="1:14" s="148" customFormat="1" ht="15.5">
      <c r="A2" s="249" t="s">
        <v>838</v>
      </c>
      <c r="B2" s="249">
        <v>66814387</v>
      </c>
      <c r="C2"/>
      <c r="D2"/>
      <c r="E2"/>
      <c r="F2"/>
      <c r="G2"/>
      <c r="H2"/>
      <c r="I2"/>
      <c r="J2" s="250"/>
      <c r="K2"/>
      <c r="L2"/>
      <c r="M2"/>
      <c r="N2"/>
    </row>
    <row r="3" spans="1:14" s="148" customFormat="1" ht="15.5">
      <c r="A3" s="249" t="s">
        <v>839</v>
      </c>
      <c r="B3" s="249" t="s">
        <v>611</v>
      </c>
      <c r="C3"/>
      <c r="D3"/>
      <c r="E3"/>
      <c r="F3"/>
      <c r="G3"/>
      <c r="H3"/>
      <c r="I3"/>
      <c r="J3" s="250"/>
      <c r="K3"/>
      <c r="L3"/>
      <c r="M3"/>
      <c r="N3"/>
    </row>
    <row r="4" spans="1:14" s="148" customFormat="1" ht="15.5">
      <c r="A4" s="249" t="s">
        <v>840</v>
      </c>
      <c r="B4" s="249">
        <v>202028384</v>
      </c>
      <c r="C4"/>
      <c r="D4"/>
      <c r="E4"/>
      <c r="F4"/>
      <c r="G4"/>
      <c r="H4"/>
      <c r="I4"/>
      <c r="J4" s="250"/>
      <c r="K4"/>
      <c r="L4"/>
      <c r="M4"/>
      <c r="N4"/>
    </row>
    <row r="5" spans="1:14" s="148" customFormat="1" ht="15.5">
      <c r="A5" s="281" t="s">
        <v>841</v>
      </c>
      <c r="B5" s="281">
        <v>45503.899236111109</v>
      </c>
      <c r="C5"/>
      <c r="D5"/>
      <c r="E5"/>
      <c r="F5"/>
      <c r="G5"/>
      <c r="H5"/>
      <c r="I5"/>
      <c r="J5" s="250"/>
      <c r="K5"/>
      <c r="L5"/>
      <c r="M5"/>
      <c r="N5"/>
    </row>
    <row r="6" spans="1:14" s="148" customFormat="1" ht="15.5">
      <c r="A6" s="282" t="s">
        <v>842</v>
      </c>
      <c r="B6" s="283">
        <v>45503.443680555552</v>
      </c>
      <c r="C6"/>
      <c r="D6"/>
      <c r="E6"/>
      <c r="F6"/>
      <c r="G6"/>
      <c r="H6"/>
      <c r="I6"/>
      <c r="J6" s="250"/>
      <c r="K6"/>
      <c r="L6"/>
      <c r="M6"/>
      <c r="N6"/>
    </row>
    <row r="7" spans="1:14" s="148" customFormat="1" ht="31">
      <c r="A7" s="249" t="s">
        <v>843</v>
      </c>
      <c r="B7" s="249" t="s">
        <v>844</v>
      </c>
      <c r="C7"/>
      <c r="D7"/>
      <c r="E7"/>
      <c r="F7"/>
      <c r="G7"/>
      <c r="H7"/>
      <c r="I7"/>
      <c r="J7" s="250"/>
      <c r="K7"/>
      <c r="L7"/>
      <c r="M7"/>
      <c r="N7"/>
    </row>
    <row r="8" spans="1:14" s="148" customFormat="1" ht="15.5">
      <c r="A8" s="249" t="s">
        <v>845</v>
      </c>
      <c r="B8" s="249" t="s">
        <v>595</v>
      </c>
      <c r="C8"/>
      <c r="D8"/>
      <c r="E8"/>
      <c r="F8"/>
      <c r="G8"/>
      <c r="H8"/>
      <c r="I8"/>
      <c r="J8" s="250"/>
      <c r="K8"/>
      <c r="L8"/>
      <c r="M8"/>
      <c r="N8"/>
    </row>
    <row r="9" spans="1:14" s="147" customFormat="1" ht="15.5">
      <c r="A9" s="249" t="s">
        <v>846</v>
      </c>
      <c r="B9" s="249">
        <v>66814388</v>
      </c>
      <c r="C9"/>
      <c r="D9"/>
      <c r="E9"/>
      <c r="F9"/>
      <c r="G9"/>
      <c r="H9"/>
      <c r="I9"/>
      <c r="J9" s="250"/>
      <c r="K9"/>
      <c r="L9"/>
      <c r="M9"/>
      <c r="N9"/>
    </row>
    <row r="10" spans="1:14" ht="16" thickBot="1">
      <c r="A10" s="249" t="s">
        <v>847</v>
      </c>
      <c r="B10" s="249" t="s">
        <v>587</v>
      </c>
      <c r="C10"/>
      <c r="D10"/>
      <c r="E10"/>
      <c r="F10"/>
      <c r="G10"/>
      <c r="H10"/>
      <c r="I10"/>
      <c r="J10" s="250"/>
      <c r="K10"/>
      <c r="L10"/>
      <c r="M10"/>
      <c r="N10"/>
    </row>
    <row r="11" spans="1:14" ht="15" thickTop="1" thickBot="1">
      <c r="A11" s="284" t="s">
        <v>587</v>
      </c>
      <c r="B11" s="284" t="s">
        <v>587</v>
      </c>
      <c r="C11" s="284" t="s">
        <v>587</v>
      </c>
      <c r="D11" s="284" t="s">
        <v>587</v>
      </c>
      <c r="E11" s="284" t="s">
        <v>587</v>
      </c>
      <c r="F11" s="284" t="s">
        <v>587</v>
      </c>
      <c r="G11" s="284" t="s">
        <v>587</v>
      </c>
      <c r="H11" s="284" t="s">
        <v>587</v>
      </c>
      <c r="I11" s="284" t="s">
        <v>587</v>
      </c>
      <c r="J11" s="285" t="s">
        <v>587</v>
      </c>
      <c r="K11" s="284" t="s">
        <v>587</v>
      </c>
      <c r="L11" s="284" t="s">
        <v>587</v>
      </c>
      <c r="M11"/>
      <c r="N11"/>
    </row>
    <row r="12" spans="1:14" ht="16.5" thickTop="1" thickBot="1">
      <c r="A12" s="263" t="s">
        <v>848</v>
      </c>
      <c r="B12"/>
      <c r="C12"/>
      <c r="D12"/>
      <c r="E12"/>
      <c r="F12"/>
      <c r="G12"/>
      <c r="H12"/>
      <c r="I12"/>
      <c r="J12" s="250"/>
      <c r="K12"/>
      <c r="L12"/>
      <c r="M12"/>
      <c r="N12"/>
    </row>
    <row r="13" spans="1:14" ht="48.5" thickTop="1">
      <c r="A13" s="251" t="s">
        <v>849</v>
      </c>
      <c r="B13" s="251" t="s">
        <v>97</v>
      </c>
      <c r="C13" s="252" t="s">
        <v>850</v>
      </c>
      <c r="D13" s="251" t="s">
        <v>851</v>
      </c>
      <c r="E13" s="252" t="s">
        <v>597</v>
      </c>
      <c r="F13" s="251" t="s">
        <v>851</v>
      </c>
      <c r="G13" s="252" t="s">
        <v>599</v>
      </c>
      <c r="H13" s="252" t="s">
        <v>600</v>
      </c>
      <c r="I13" s="251" t="s">
        <v>851</v>
      </c>
      <c r="J13" s="275" t="s">
        <v>852</v>
      </c>
      <c r="K13" s="251" t="s">
        <v>853</v>
      </c>
      <c r="L13" s="251" t="s">
        <v>592</v>
      </c>
      <c r="M13"/>
      <c r="N13"/>
    </row>
    <row r="14" spans="1:14" ht="14.5">
      <c r="A14" s="286" t="s">
        <v>603</v>
      </c>
      <c r="B14"/>
      <c r="C14"/>
      <c r="D14"/>
      <c r="E14"/>
      <c r="F14"/>
      <c r="G14"/>
      <c r="H14"/>
      <c r="I14"/>
      <c r="J14" s="250"/>
      <c r="K14"/>
      <c r="L14"/>
      <c r="M14"/>
      <c r="N14"/>
    </row>
    <row r="15" spans="1:14">
      <c r="A15" s="272" t="s">
        <v>854</v>
      </c>
      <c r="B15" s="272" t="s">
        <v>855</v>
      </c>
      <c r="C15" s="260" t="s">
        <v>856</v>
      </c>
      <c r="D15" s="260" t="s">
        <v>587</v>
      </c>
      <c r="E15" s="287" t="s">
        <v>857</v>
      </c>
      <c r="F15" s="287" t="s">
        <v>587</v>
      </c>
      <c r="G15" s="287" t="s">
        <v>595</v>
      </c>
      <c r="H15" s="287" t="s">
        <v>858</v>
      </c>
      <c r="I15" s="287" t="s">
        <v>587</v>
      </c>
      <c r="J15" s="288" t="s">
        <v>859</v>
      </c>
      <c r="K15" s="260" t="s">
        <v>860</v>
      </c>
      <c r="L15" s="260" t="s">
        <v>861</v>
      </c>
      <c r="M15"/>
      <c r="N15"/>
    </row>
    <row r="16" spans="1:14">
      <c r="A16" s="272" t="s">
        <v>587</v>
      </c>
      <c r="B16" s="272" t="s">
        <v>587</v>
      </c>
      <c r="C16" s="260" t="s">
        <v>856</v>
      </c>
      <c r="D16" s="260" t="s">
        <v>587</v>
      </c>
      <c r="E16" s="289">
        <v>80000000</v>
      </c>
      <c r="F16" s="287" t="s">
        <v>587</v>
      </c>
      <c r="G16" s="287" t="s">
        <v>595</v>
      </c>
      <c r="H16" s="289" t="s">
        <v>862</v>
      </c>
      <c r="I16" s="287" t="s">
        <v>587</v>
      </c>
      <c r="J16" s="288" t="s">
        <v>863</v>
      </c>
      <c r="K16" s="260" t="s">
        <v>860</v>
      </c>
      <c r="L16" s="260" t="s">
        <v>789</v>
      </c>
      <c r="M16"/>
      <c r="N16"/>
    </row>
    <row r="17" spans="1:14">
      <c r="A17" s="272" t="s">
        <v>587</v>
      </c>
      <c r="B17" s="272" t="s">
        <v>587</v>
      </c>
      <c r="C17" s="260" t="s">
        <v>856</v>
      </c>
      <c r="D17" s="260" t="s">
        <v>587</v>
      </c>
      <c r="E17" s="289" t="s">
        <v>864</v>
      </c>
      <c r="F17" s="287" t="s">
        <v>587</v>
      </c>
      <c r="G17" s="287" t="s">
        <v>595</v>
      </c>
      <c r="H17" s="289" t="s">
        <v>865</v>
      </c>
      <c r="I17" s="287" t="s">
        <v>587</v>
      </c>
      <c r="J17" s="288" t="s">
        <v>866</v>
      </c>
      <c r="K17" s="260" t="s">
        <v>860</v>
      </c>
      <c r="L17" s="260" t="s">
        <v>789</v>
      </c>
      <c r="M17"/>
      <c r="N17"/>
    </row>
    <row r="18" spans="1:14">
      <c r="A18" s="272" t="s">
        <v>587</v>
      </c>
      <c r="B18" s="272" t="s">
        <v>587</v>
      </c>
      <c r="C18" s="260" t="s">
        <v>856</v>
      </c>
      <c r="D18" s="260" t="s">
        <v>587</v>
      </c>
      <c r="E18" s="289" t="s">
        <v>867</v>
      </c>
      <c r="F18" s="287" t="s">
        <v>587</v>
      </c>
      <c r="G18" s="287" t="s">
        <v>595</v>
      </c>
      <c r="H18" s="289" t="s">
        <v>868</v>
      </c>
      <c r="I18" s="287" t="s">
        <v>587</v>
      </c>
      <c r="J18" s="288" t="s">
        <v>869</v>
      </c>
      <c r="K18" s="260" t="s">
        <v>860</v>
      </c>
      <c r="L18" s="260" t="s">
        <v>861</v>
      </c>
      <c r="M18"/>
      <c r="N18"/>
    </row>
    <row r="19" spans="1:14" ht="15" thickBot="1">
      <c r="A19" s="290" t="s">
        <v>870</v>
      </c>
      <c r="B19" s="290" t="s">
        <v>587</v>
      </c>
      <c r="C19" s="290" t="s">
        <v>587</v>
      </c>
      <c r="D19" s="290" t="s">
        <v>587</v>
      </c>
      <c r="E19" s="290" t="s">
        <v>587</v>
      </c>
      <c r="F19" s="290" t="s">
        <v>587</v>
      </c>
      <c r="G19" s="290" t="s">
        <v>587</v>
      </c>
      <c r="H19" s="290" t="s">
        <v>587</v>
      </c>
      <c r="I19" s="290" t="s">
        <v>587</v>
      </c>
      <c r="J19" s="291" t="s">
        <v>587</v>
      </c>
      <c r="K19" s="290" t="s">
        <v>587</v>
      </c>
      <c r="L19" s="290" t="s">
        <v>587</v>
      </c>
      <c r="M19"/>
      <c r="N19"/>
    </row>
    <row r="20" spans="1:14" ht="14.5" thickTop="1">
      <c r="A20" t="s">
        <v>587</v>
      </c>
      <c r="B20" t="s">
        <v>587</v>
      </c>
      <c r="C20" t="s">
        <v>587</v>
      </c>
      <c r="D20" t="s">
        <v>587</v>
      </c>
      <c r="E20" t="s">
        <v>587</v>
      </c>
      <c r="F20" t="s">
        <v>587</v>
      </c>
      <c r="G20" t="s">
        <v>587</v>
      </c>
      <c r="H20" t="s">
        <v>587</v>
      </c>
      <c r="I20" t="s">
        <v>587</v>
      </c>
      <c r="J20" s="250" t="s">
        <v>587</v>
      </c>
      <c r="K20" t="s">
        <v>587</v>
      </c>
      <c r="L20" t="s">
        <v>587</v>
      </c>
      <c r="M20"/>
      <c r="N20"/>
    </row>
    <row r="21" spans="1:14">
      <c r="A21" t="s">
        <v>587</v>
      </c>
      <c r="B21" t="s">
        <v>587</v>
      </c>
      <c r="C21" t="s">
        <v>587</v>
      </c>
      <c r="D21" t="s">
        <v>587</v>
      </c>
      <c r="E21" t="s">
        <v>587</v>
      </c>
      <c r="F21" t="s">
        <v>587</v>
      </c>
      <c r="G21" t="s">
        <v>587</v>
      </c>
      <c r="H21" t="s">
        <v>587</v>
      </c>
      <c r="I21" t="s">
        <v>587</v>
      </c>
      <c r="J21" s="250" t="s">
        <v>587</v>
      </c>
      <c r="K21" t="s">
        <v>587</v>
      </c>
      <c r="L21" t="s">
        <v>587</v>
      </c>
      <c r="M21"/>
      <c r="N21"/>
    </row>
    <row r="22" spans="1:14" ht="15.5">
      <c r="A22" s="249" t="s">
        <v>585</v>
      </c>
      <c r="B22" s="249" t="s">
        <v>855</v>
      </c>
      <c r="C22"/>
      <c r="D22"/>
      <c r="E22"/>
      <c r="F22"/>
      <c r="G22"/>
      <c r="H22"/>
      <c r="I22"/>
      <c r="J22" s="250"/>
      <c r="K22"/>
      <c r="L22"/>
      <c r="M22"/>
      <c r="N22"/>
    </row>
    <row r="23" spans="1:14" ht="15.5">
      <c r="A23" s="249" t="s">
        <v>586</v>
      </c>
      <c r="B23" s="249" t="s">
        <v>854</v>
      </c>
      <c r="C23"/>
      <c r="D23"/>
      <c r="E23"/>
      <c r="F23"/>
      <c r="G23"/>
      <c r="H23"/>
      <c r="I23"/>
      <c r="J23" s="250"/>
      <c r="K23"/>
      <c r="L23"/>
      <c r="M23"/>
      <c r="N23"/>
    </row>
    <row r="24" spans="1:14" ht="15.5">
      <c r="A24" s="249" t="s">
        <v>588</v>
      </c>
      <c r="B24" s="249" t="s">
        <v>589</v>
      </c>
      <c r="C24"/>
      <c r="D24"/>
      <c r="E24"/>
      <c r="F24"/>
      <c r="G24"/>
      <c r="H24"/>
      <c r="I24"/>
      <c r="J24" s="250"/>
      <c r="K24"/>
      <c r="L24"/>
      <c r="M24"/>
      <c r="N24"/>
    </row>
    <row r="25" spans="1:14" ht="15.5">
      <c r="A25" s="249" t="s">
        <v>590</v>
      </c>
      <c r="B25" s="274">
        <v>80000000</v>
      </c>
      <c r="C25"/>
      <c r="D25"/>
      <c r="E25"/>
      <c r="F25"/>
      <c r="G25"/>
      <c r="H25"/>
      <c r="I25"/>
      <c r="J25" s="250"/>
      <c r="K25"/>
      <c r="L25"/>
      <c r="M25"/>
      <c r="N25"/>
    </row>
    <row r="26" spans="1:14" ht="15.5">
      <c r="A26" s="249" t="s">
        <v>591</v>
      </c>
      <c r="B26" s="274" t="s">
        <v>871</v>
      </c>
      <c r="C26"/>
      <c r="D26"/>
      <c r="E26"/>
      <c r="F26"/>
      <c r="G26"/>
      <c r="H26"/>
      <c r="I26"/>
      <c r="J26" s="250"/>
      <c r="K26"/>
      <c r="L26"/>
      <c r="M26"/>
      <c r="N26"/>
    </row>
    <row r="27" spans="1:14" ht="15.5">
      <c r="A27" s="249" t="s">
        <v>592</v>
      </c>
      <c r="B27" s="249" t="s">
        <v>789</v>
      </c>
      <c r="C27"/>
      <c r="D27"/>
      <c r="E27"/>
      <c r="F27"/>
      <c r="G27"/>
      <c r="H27"/>
      <c r="I27"/>
      <c r="J27" s="250"/>
      <c r="K27"/>
      <c r="L27"/>
      <c r="M27"/>
      <c r="N27"/>
    </row>
    <row r="28" spans="1:14" ht="15.5">
      <c r="A28" s="249" t="s">
        <v>593</v>
      </c>
      <c r="B28" s="274">
        <v>510926</v>
      </c>
      <c r="C28"/>
      <c r="D28"/>
      <c r="E28"/>
      <c r="F28"/>
      <c r="G28"/>
      <c r="H28"/>
      <c r="I28"/>
      <c r="J28" s="250"/>
      <c r="K28"/>
      <c r="L28"/>
      <c r="M28"/>
      <c r="N28"/>
    </row>
    <row r="29" spans="1:14" ht="15.5">
      <c r="A29" s="249" t="s">
        <v>594</v>
      </c>
      <c r="B29" s="249" t="s">
        <v>595</v>
      </c>
      <c r="C29"/>
      <c r="D29"/>
      <c r="E29"/>
      <c r="F29"/>
      <c r="G29"/>
      <c r="H29"/>
      <c r="I29"/>
      <c r="J29" s="250"/>
      <c r="K29"/>
      <c r="L29"/>
      <c r="M29"/>
      <c r="N29"/>
    </row>
    <row r="30" spans="1:14" ht="63">
      <c r="A30" s="251" t="s">
        <v>790</v>
      </c>
      <c r="B30" s="251" t="s">
        <v>97</v>
      </c>
      <c r="C30" s="252" t="s">
        <v>791</v>
      </c>
      <c r="D30" s="252" t="s">
        <v>596</v>
      </c>
      <c r="E30" s="252" t="s">
        <v>899</v>
      </c>
      <c r="F30" s="252" t="s">
        <v>598</v>
      </c>
      <c r="G30" s="252" t="s">
        <v>599</v>
      </c>
      <c r="H30" s="252" t="s">
        <v>600</v>
      </c>
      <c r="I30" s="252" t="s">
        <v>792</v>
      </c>
      <c r="J30" s="275" t="s">
        <v>793</v>
      </c>
      <c r="K30" s="251" t="s">
        <v>601</v>
      </c>
      <c r="L30" s="251" t="s">
        <v>602</v>
      </c>
      <c r="M30"/>
      <c r="N30"/>
    </row>
    <row r="31" spans="1:14" ht="14.5">
      <c r="A31" s="286" t="s">
        <v>603</v>
      </c>
      <c r="B31"/>
      <c r="C31"/>
      <c r="D31"/>
      <c r="E31"/>
      <c r="F31"/>
      <c r="G31"/>
      <c r="H31"/>
      <c r="I31"/>
      <c r="J31" s="250"/>
      <c r="K31"/>
      <c r="L31"/>
      <c r="M31"/>
      <c r="N31"/>
    </row>
    <row r="32" spans="1:14">
      <c r="A32" s="292" t="s">
        <v>872</v>
      </c>
      <c r="B32" s="292" t="s">
        <v>873</v>
      </c>
      <c r="C32" s="287" t="s">
        <v>874</v>
      </c>
      <c r="D32" s="287" t="s">
        <v>587</v>
      </c>
      <c r="E32" s="289" t="s">
        <v>857</v>
      </c>
      <c r="F32" s="287" t="s">
        <v>606</v>
      </c>
      <c r="G32" s="287" t="s">
        <v>595</v>
      </c>
      <c r="H32" s="289" t="s">
        <v>862</v>
      </c>
      <c r="I32" s="287" t="s">
        <v>609</v>
      </c>
      <c r="J32" s="293" t="s">
        <v>606</v>
      </c>
      <c r="K32" s="292" t="s">
        <v>587</v>
      </c>
      <c r="L32" s="287" t="s">
        <v>587</v>
      </c>
      <c r="M32"/>
      <c r="N32"/>
    </row>
    <row r="33" spans="1:14">
      <c r="A33" s="292" t="s">
        <v>875</v>
      </c>
      <c r="B33" s="292" t="s">
        <v>876</v>
      </c>
      <c r="C33" s="287" t="s">
        <v>874</v>
      </c>
      <c r="D33" s="287" t="s">
        <v>587</v>
      </c>
      <c r="E33" s="289">
        <v>80100000</v>
      </c>
      <c r="F33" s="287" t="s">
        <v>606</v>
      </c>
      <c r="G33" s="287" t="s">
        <v>595</v>
      </c>
      <c r="H33" s="289">
        <v>500000</v>
      </c>
      <c r="I33" s="287" t="s">
        <v>609</v>
      </c>
      <c r="J33" s="293" t="s">
        <v>606</v>
      </c>
      <c r="K33" s="292" t="s">
        <v>587</v>
      </c>
      <c r="L33" s="287" t="s">
        <v>587</v>
      </c>
      <c r="M33"/>
      <c r="N33"/>
    </row>
    <row r="34" spans="1:14">
      <c r="A34" s="292" t="s">
        <v>877</v>
      </c>
      <c r="B34" s="292" t="s">
        <v>878</v>
      </c>
      <c r="C34" s="287" t="s">
        <v>874</v>
      </c>
      <c r="D34" s="287" t="s">
        <v>587</v>
      </c>
      <c r="E34" s="289" t="s">
        <v>879</v>
      </c>
      <c r="F34" s="287" t="s">
        <v>606</v>
      </c>
      <c r="G34" s="287" t="s">
        <v>595</v>
      </c>
      <c r="H34" s="289">
        <v>800</v>
      </c>
      <c r="I34" s="287" t="s">
        <v>609</v>
      </c>
      <c r="J34" s="293" t="s">
        <v>606</v>
      </c>
      <c r="K34" s="292" t="s">
        <v>587</v>
      </c>
      <c r="L34" s="287" t="s">
        <v>587</v>
      </c>
      <c r="M34"/>
      <c r="N34"/>
    </row>
    <row r="35" spans="1:14" ht="15" thickBot="1">
      <c r="A35" s="290" t="s">
        <v>870</v>
      </c>
      <c r="B35" s="290" t="s">
        <v>587</v>
      </c>
      <c r="C35" s="290" t="s">
        <v>587</v>
      </c>
      <c r="D35" s="290" t="s">
        <v>587</v>
      </c>
      <c r="E35" s="290" t="s">
        <v>587</v>
      </c>
      <c r="F35" s="290" t="s">
        <v>587</v>
      </c>
      <c r="G35" s="290" t="s">
        <v>587</v>
      </c>
      <c r="H35" s="290" t="s">
        <v>587</v>
      </c>
      <c r="I35" s="290" t="s">
        <v>587</v>
      </c>
      <c r="J35" s="291" t="s">
        <v>587</v>
      </c>
      <c r="K35" s="290" t="s">
        <v>587</v>
      </c>
      <c r="L35" s="290" t="s">
        <v>587</v>
      </c>
      <c r="M35"/>
      <c r="N35"/>
    </row>
    <row r="36" spans="1:14" ht="14.5" thickTop="1">
      <c r="A36" t="s">
        <v>587</v>
      </c>
      <c r="B36" t="s">
        <v>587</v>
      </c>
      <c r="C36" t="s">
        <v>587</v>
      </c>
      <c r="D36" t="s">
        <v>587</v>
      </c>
      <c r="E36" t="s">
        <v>587</v>
      </c>
      <c r="F36" t="s">
        <v>587</v>
      </c>
      <c r="G36" t="s">
        <v>587</v>
      </c>
      <c r="H36" t="s">
        <v>587</v>
      </c>
      <c r="I36" t="s">
        <v>587</v>
      </c>
      <c r="J36" s="250" t="s">
        <v>587</v>
      </c>
      <c r="K36" t="s">
        <v>587</v>
      </c>
      <c r="L36" t="s">
        <v>587</v>
      </c>
      <c r="M36"/>
      <c r="N36"/>
    </row>
    <row r="37" spans="1:14">
      <c r="A37" t="s">
        <v>587</v>
      </c>
      <c r="B37" t="s">
        <v>587</v>
      </c>
      <c r="C37" t="s">
        <v>587</v>
      </c>
      <c r="D37" t="s">
        <v>587</v>
      </c>
      <c r="E37" t="s">
        <v>587</v>
      </c>
      <c r="F37" t="s">
        <v>587</v>
      </c>
      <c r="G37" t="s">
        <v>587</v>
      </c>
      <c r="H37" t="s">
        <v>587</v>
      </c>
      <c r="I37" t="s">
        <v>587</v>
      </c>
      <c r="J37" s="250" t="s">
        <v>587</v>
      </c>
      <c r="K37" t="s">
        <v>587</v>
      </c>
      <c r="L37" t="s">
        <v>587</v>
      </c>
      <c r="M37"/>
      <c r="N37"/>
    </row>
    <row r="38" spans="1:14" ht="15.5">
      <c r="A38" s="249" t="s">
        <v>585</v>
      </c>
      <c r="B38" s="249" t="s">
        <v>788</v>
      </c>
      <c r="C38"/>
      <c r="D38"/>
      <c r="E38"/>
      <c r="F38"/>
      <c r="G38"/>
      <c r="H38"/>
      <c r="I38"/>
      <c r="J38" s="250"/>
      <c r="K38"/>
      <c r="L38"/>
      <c r="M38"/>
      <c r="N38"/>
    </row>
    <row r="39" spans="1:14" ht="15.5">
      <c r="A39" s="249" t="s">
        <v>586</v>
      </c>
      <c r="B39" s="249" t="s">
        <v>587</v>
      </c>
      <c r="C39"/>
      <c r="D39"/>
      <c r="E39"/>
      <c r="F39"/>
      <c r="G39"/>
      <c r="H39"/>
      <c r="I39"/>
      <c r="J39" s="250"/>
      <c r="K39"/>
      <c r="L39"/>
      <c r="M39"/>
      <c r="N39"/>
    </row>
    <row r="40" spans="1:14" ht="15.5">
      <c r="A40" s="249" t="s">
        <v>588</v>
      </c>
      <c r="B40" s="249" t="s">
        <v>589</v>
      </c>
      <c r="C40"/>
      <c r="D40"/>
      <c r="E40"/>
      <c r="F40"/>
      <c r="G40"/>
      <c r="H40"/>
      <c r="I40"/>
      <c r="J40" s="250"/>
      <c r="K40"/>
      <c r="L40"/>
      <c r="M40"/>
      <c r="N40"/>
    </row>
    <row r="41" spans="1:14" ht="15.5">
      <c r="A41" s="249" t="s">
        <v>590</v>
      </c>
      <c r="B41" s="274" t="s">
        <v>706</v>
      </c>
      <c r="C41"/>
      <c r="D41"/>
      <c r="E41"/>
      <c r="F41"/>
      <c r="G41"/>
      <c r="H41"/>
      <c r="I41"/>
      <c r="J41" s="250"/>
      <c r="K41"/>
      <c r="L41"/>
      <c r="M41"/>
      <c r="N41"/>
    </row>
    <row r="42" spans="1:14" ht="15.5">
      <c r="A42" s="249" t="s">
        <v>591</v>
      </c>
      <c r="B42" s="274" t="s">
        <v>880</v>
      </c>
      <c r="C42"/>
      <c r="D42"/>
      <c r="E42"/>
      <c r="F42"/>
      <c r="G42"/>
      <c r="H42"/>
      <c r="I42"/>
      <c r="J42" s="250"/>
      <c r="K42"/>
      <c r="L42"/>
      <c r="M42"/>
      <c r="N42"/>
    </row>
    <row r="43" spans="1:14" ht="15.5">
      <c r="A43" s="249" t="s">
        <v>592</v>
      </c>
      <c r="B43" s="249" t="s">
        <v>789</v>
      </c>
      <c r="C43"/>
      <c r="D43"/>
      <c r="E43"/>
      <c r="F43"/>
      <c r="G43"/>
      <c r="H43"/>
      <c r="I43"/>
      <c r="J43" s="250"/>
      <c r="K43"/>
      <c r="L43"/>
      <c r="M43"/>
      <c r="N43"/>
    </row>
    <row r="44" spans="1:14" ht="15.5">
      <c r="A44" s="249" t="s">
        <v>593</v>
      </c>
      <c r="B44" s="274">
        <v>510926</v>
      </c>
      <c r="C44"/>
      <c r="D44"/>
      <c r="E44"/>
      <c r="F44"/>
      <c r="G44"/>
      <c r="H44"/>
      <c r="I44"/>
      <c r="J44" s="250"/>
      <c r="K44"/>
      <c r="L44"/>
      <c r="M44"/>
      <c r="N44"/>
    </row>
    <row r="45" spans="1:14" ht="15.5">
      <c r="A45" s="249" t="s">
        <v>594</v>
      </c>
      <c r="B45" s="249" t="s">
        <v>595</v>
      </c>
      <c r="C45"/>
      <c r="D45"/>
      <c r="E45"/>
      <c r="F45"/>
      <c r="G45"/>
      <c r="H45"/>
      <c r="I45"/>
      <c r="J45" s="250"/>
      <c r="K45"/>
      <c r="L45"/>
      <c r="M45"/>
      <c r="N45"/>
    </row>
    <row r="46" spans="1:14" ht="63">
      <c r="A46" s="251" t="s">
        <v>790</v>
      </c>
      <c r="B46" s="251" t="s">
        <v>97</v>
      </c>
      <c r="C46" s="252" t="s">
        <v>791</v>
      </c>
      <c r="D46" s="252" t="s">
        <v>596</v>
      </c>
      <c r="E46" s="252" t="s">
        <v>899</v>
      </c>
      <c r="F46" s="252" t="s">
        <v>598</v>
      </c>
      <c r="G46" s="252" t="s">
        <v>599</v>
      </c>
      <c r="H46" s="252" t="s">
        <v>600</v>
      </c>
      <c r="I46" s="252" t="s">
        <v>792</v>
      </c>
      <c r="J46" s="275" t="s">
        <v>793</v>
      </c>
      <c r="K46" s="251" t="s">
        <v>601</v>
      </c>
      <c r="L46" s="251" t="s">
        <v>602</v>
      </c>
      <c r="M46" s="251" t="s">
        <v>800</v>
      </c>
      <c r="N46"/>
    </row>
    <row r="47" spans="1:14" ht="14.5">
      <c r="A47" s="253" t="s">
        <v>603</v>
      </c>
      <c r="B47" s="244"/>
      <c r="C47" s="244"/>
      <c r="D47" s="244"/>
      <c r="E47" s="244"/>
      <c r="F47" s="244"/>
      <c r="G47" s="244"/>
      <c r="H47" s="244"/>
      <c r="I47" s="244"/>
      <c r="J47" s="254"/>
      <c r="K47" s="244"/>
      <c r="L47" s="244"/>
      <c r="M47" s="244"/>
      <c r="N47"/>
    </row>
    <row r="48" spans="1:14" ht="20.5">
      <c r="A48" s="262" t="s">
        <v>705</v>
      </c>
      <c r="B48" s="256" t="s">
        <v>604</v>
      </c>
      <c r="C48" s="257" t="s">
        <v>605</v>
      </c>
      <c r="D48" s="257"/>
      <c r="E48" s="258" t="s">
        <v>706</v>
      </c>
      <c r="F48" s="257" t="s">
        <v>606</v>
      </c>
      <c r="G48" s="258">
        <v>15</v>
      </c>
      <c r="H48" s="257">
        <v>1</v>
      </c>
      <c r="I48" s="257" t="s">
        <v>607</v>
      </c>
      <c r="J48" s="261" t="s">
        <v>801</v>
      </c>
      <c r="K48" s="256" t="s">
        <v>608</v>
      </c>
      <c r="L48" s="260"/>
      <c r="M48" s="244"/>
      <c r="N48"/>
    </row>
    <row r="49" spans="1:14">
      <c r="A49" s="229" t="s">
        <v>707</v>
      </c>
      <c r="B49" s="256" t="s">
        <v>604</v>
      </c>
      <c r="C49" s="257" t="s">
        <v>802</v>
      </c>
      <c r="D49" s="257"/>
      <c r="E49" s="258" t="s">
        <v>708</v>
      </c>
      <c r="F49" s="257" t="s">
        <v>606</v>
      </c>
      <c r="G49" s="258">
        <v>3</v>
      </c>
      <c r="H49" s="257">
        <v>1</v>
      </c>
      <c r="I49" s="257" t="s">
        <v>609</v>
      </c>
      <c r="J49" s="261" t="s">
        <v>803</v>
      </c>
      <c r="K49" s="256" t="s">
        <v>610</v>
      </c>
      <c r="L49" s="260"/>
      <c r="M49" s="244"/>
      <c r="N49"/>
    </row>
    <row r="50" spans="1:14" ht="30.5">
      <c r="A50" s="255" t="s">
        <v>804</v>
      </c>
      <c r="B50" s="256" t="s">
        <v>604</v>
      </c>
      <c r="C50" s="257" t="s">
        <v>605</v>
      </c>
      <c r="D50" s="257"/>
      <c r="E50" s="258" t="s">
        <v>709</v>
      </c>
      <c r="F50" s="257" t="s">
        <v>606</v>
      </c>
      <c r="G50" s="258" t="s">
        <v>611</v>
      </c>
      <c r="H50" s="257">
        <v>1</v>
      </c>
      <c r="I50" s="257" t="s">
        <v>607</v>
      </c>
      <c r="J50" s="261" t="s">
        <v>805</v>
      </c>
      <c r="K50" s="256" t="s">
        <v>612</v>
      </c>
      <c r="L50" s="260"/>
      <c r="M50" s="244"/>
      <c r="N50"/>
    </row>
    <row r="51" spans="1:14" ht="20.5">
      <c r="A51" s="229" t="s">
        <v>710</v>
      </c>
      <c r="B51" s="256" t="s">
        <v>604</v>
      </c>
      <c r="C51" s="257" t="s">
        <v>605</v>
      </c>
      <c r="D51" s="257"/>
      <c r="E51" s="258" t="s">
        <v>711</v>
      </c>
      <c r="F51" s="257" t="s">
        <v>606</v>
      </c>
      <c r="G51" s="258" t="s">
        <v>611</v>
      </c>
      <c r="H51" s="257">
        <v>1</v>
      </c>
      <c r="I51" s="257" t="s">
        <v>609</v>
      </c>
      <c r="J51" s="261" t="s">
        <v>806</v>
      </c>
      <c r="K51" s="256" t="s">
        <v>610</v>
      </c>
      <c r="L51" s="260"/>
      <c r="M51" s="244"/>
      <c r="N51"/>
    </row>
    <row r="52" spans="1:14" ht="30.5">
      <c r="A52" s="255" t="s">
        <v>807</v>
      </c>
      <c r="B52" s="256" t="s">
        <v>604</v>
      </c>
      <c r="C52" s="257" t="s">
        <v>605</v>
      </c>
      <c r="D52" s="257"/>
      <c r="E52" s="258" t="s">
        <v>712</v>
      </c>
      <c r="F52" s="257" t="s">
        <v>606</v>
      </c>
      <c r="G52" s="258" t="s">
        <v>613</v>
      </c>
      <c r="H52" s="257">
        <v>1</v>
      </c>
      <c r="I52" s="257" t="s">
        <v>607</v>
      </c>
      <c r="J52" s="261" t="s">
        <v>808</v>
      </c>
      <c r="K52" s="256" t="s">
        <v>612</v>
      </c>
      <c r="L52" s="260"/>
      <c r="M52" s="244"/>
      <c r="N52"/>
    </row>
    <row r="53" spans="1:14" ht="20.5">
      <c r="A53" s="229" t="s">
        <v>713</v>
      </c>
      <c r="B53" s="256" t="s">
        <v>604</v>
      </c>
      <c r="C53" s="257" t="s">
        <v>605</v>
      </c>
      <c r="D53" s="257"/>
      <c r="E53" s="258" t="s">
        <v>714</v>
      </c>
      <c r="F53" s="257" t="s">
        <v>606</v>
      </c>
      <c r="G53" s="258" t="s">
        <v>611</v>
      </c>
      <c r="H53" s="257">
        <v>1</v>
      </c>
      <c r="I53" s="257" t="s">
        <v>609</v>
      </c>
      <c r="J53" s="261" t="s">
        <v>806</v>
      </c>
      <c r="K53" s="256" t="s">
        <v>610</v>
      </c>
      <c r="L53" s="260"/>
      <c r="M53" s="244"/>
      <c r="N53"/>
    </row>
    <row r="54" spans="1:14" ht="20.5">
      <c r="A54" s="255" t="s">
        <v>614</v>
      </c>
      <c r="B54" s="256" t="s">
        <v>604</v>
      </c>
      <c r="C54" s="257" t="s">
        <v>605</v>
      </c>
      <c r="D54" s="257"/>
      <c r="E54" s="258" t="s">
        <v>715</v>
      </c>
      <c r="F54" s="257" t="s">
        <v>606</v>
      </c>
      <c r="G54" s="258">
        <v>8</v>
      </c>
      <c r="H54" s="257">
        <v>1</v>
      </c>
      <c r="I54" s="259" t="s">
        <v>607</v>
      </c>
      <c r="J54" s="276" t="s">
        <v>834</v>
      </c>
      <c r="K54" s="256" t="s">
        <v>716</v>
      </c>
      <c r="L54" s="260"/>
      <c r="M54" s="244"/>
      <c r="N54"/>
    </row>
    <row r="55" spans="1:14" ht="20.5">
      <c r="A55" s="255" t="s">
        <v>717</v>
      </c>
      <c r="B55" s="256" t="s">
        <v>604</v>
      </c>
      <c r="C55" s="257" t="s">
        <v>605</v>
      </c>
      <c r="D55" s="257"/>
      <c r="E55" s="258" t="s">
        <v>718</v>
      </c>
      <c r="F55" s="257" t="s">
        <v>606</v>
      </c>
      <c r="G55" s="258">
        <v>8</v>
      </c>
      <c r="H55" s="257">
        <v>1</v>
      </c>
      <c r="I55" s="257" t="s">
        <v>609</v>
      </c>
      <c r="J55" s="261" t="s">
        <v>809</v>
      </c>
      <c r="K55" s="256" t="s">
        <v>610</v>
      </c>
      <c r="L55" s="260"/>
      <c r="M55" s="244"/>
      <c r="N55"/>
    </row>
    <row r="56" spans="1:14" ht="20.5">
      <c r="A56" s="255" t="s">
        <v>719</v>
      </c>
      <c r="B56" s="256" t="s">
        <v>604</v>
      </c>
      <c r="C56" s="257" t="s">
        <v>605</v>
      </c>
      <c r="D56" s="257"/>
      <c r="E56" s="258" t="s">
        <v>720</v>
      </c>
      <c r="F56" s="257" t="s">
        <v>606</v>
      </c>
      <c r="G56" s="258">
        <v>8</v>
      </c>
      <c r="H56" s="257">
        <v>1</v>
      </c>
      <c r="I56" s="259" t="s">
        <v>607</v>
      </c>
      <c r="J56" s="276" t="s">
        <v>810</v>
      </c>
      <c r="K56" s="256" t="s">
        <v>612</v>
      </c>
      <c r="L56" s="260"/>
      <c r="M56" s="244"/>
      <c r="N56"/>
    </row>
    <row r="57" spans="1:14" ht="20.5">
      <c r="A57" s="229" t="s">
        <v>721</v>
      </c>
      <c r="B57" s="256" t="s">
        <v>604</v>
      </c>
      <c r="C57" s="257" t="s">
        <v>605</v>
      </c>
      <c r="D57" s="257"/>
      <c r="E57" s="259" t="s">
        <v>722</v>
      </c>
      <c r="F57" s="257" t="s">
        <v>606</v>
      </c>
      <c r="G57" s="259">
        <v>8</v>
      </c>
      <c r="H57" s="257">
        <v>1</v>
      </c>
      <c r="I57" s="257" t="s">
        <v>609</v>
      </c>
      <c r="J57" s="261" t="s">
        <v>811</v>
      </c>
      <c r="K57" s="256" t="s">
        <v>610</v>
      </c>
      <c r="L57" s="260"/>
      <c r="M57" s="244"/>
      <c r="N57"/>
    </row>
    <row r="58" spans="1:14">
      <c r="A58" s="255" t="s">
        <v>812</v>
      </c>
      <c r="B58" s="256" t="s">
        <v>604</v>
      </c>
      <c r="C58" s="257" t="s">
        <v>605</v>
      </c>
      <c r="D58" s="257"/>
      <c r="E58" s="258" t="s">
        <v>813</v>
      </c>
      <c r="F58" s="257" t="s">
        <v>606</v>
      </c>
      <c r="G58" s="258">
        <v>3</v>
      </c>
      <c r="H58" s="257">
        <v>1</v>
      </c>
      <c r="I58" s="257" t="s">
        <v>607</v>
      </c>
      <c r="J58" s="261" t="s">
        <v>814</v>
      </c>
      <c r="K58" s="256" t="s">
        <v>615</v>
      </c>
      <c r="L58" s="260"/>
      <c r="M58" s="244"/>
      <c r="N58"/>
    </row>
    <row r="59" spans="1:14">
      <c r="A59" s="255" t="s">
        <v>815</v>
      </c>
      <c r="B59" s="256" t="s">
        <v>604</v>
      </c>
      <c r="C59" s="257" t="s">
        <v>605</v>
      </c>
      <c r="D59" s="257"/>
      <c r="E59" s="258" t="s">
        <v>723</v>
      </c>
      <c r="F59" s="257" t="s">
        <v>606</v>
      </c>
      <c r="G59" s="258">
        <v>2</v>
      </c>
      <c r="H59" s="257" t="s">
        <v>595</v>
      </c>
      <c r="I59" s="257" t="s">
        <v>607</v>
      </c>
      <c r="J59" s="261" t="s">
        <v>816</v>
      </c>
      <c r="K59" s="256" t="s">
        <v>616</v>
      </c>
      <c r="L59" s="260"/>
      <c r="M59" s="244"/>
      <c r="N59"/>
    </row>
    <row r="60" spans="1:14" ht="20.5">
      <c r="A60" s="255" t="s">
        <v>617</v>
      </c>
      <c r="B60" s="256" t="s">
        <v>604</v>
      </c>
      <c r="C60" s="257" t="s">
        <v>605</v>
      </c>
      <c r="D60" s="257"/>
      <c r="E60" s="258" t="s">
        <v>817</v>
      </c>
      <c r="F60" s="257" t="s">
        <v>606</v>
      </c>
      <c r="G60" s="258" t="s">
        <v>618</v>
      </c>
      <c r="H60" s="257" t="s">
        <v>595</v>
      </c>
      <c r="I60" s="257" t="s">
        <v>607</v>
      </c>
      <c r="J60" s="261" t="s">
        <v>818</v>
      </c>
      <c r="K60" s="256" t="s">
        <v>619</v>
      </c>
      <c r="L60" s="260"/>
      <c r="M60" s="277" t="s">
        <v>819</v>
      </c>
      <c r="N60"/>
    </row>
    <row r="61" spans="1:14" ht="20.5">
      <c r="A61" s="229" t="s">
        <v>724</v>
      </c>
      <c r="B61" s="256" t="s">
        <v>121</v>
      </c>
      <c r="C61" s="257" t="s">
        <v>605</v>
      </c>
      <c r="D61" s="257"/>
      <c r="E61" s="258" t="s">
        <v>820</v>
      </c>
      <c r="F61" s="257" t="s">
        <v>606</v>
      </c>
      <c r="G61" s="258" t="s">
        <v>618</v>
      </c>
      <c r="H61" s="257" t="s">
        <v>595</v>
      </c>
      <c r="I61" s="257" t="s">
        <v>609</v>
      </c>
      <c r="J61" s="261" t="s">
        <v>725</v>
      </c>
      <c r="K61" s="256" t="s">
        <v>716</v>
      </c>
      <c r="L61" s="260"/>
      <c r="M61" s="244"/>
      <c r="N61"/>
    </row>
    <row r="62" spans="1:14" ht="20.5">
      <c r="A62" s="230" t="s">
        <v>726</v>
      </c>
      <c r="B62" s="256" t="s">
        <v>604</v>
      </c>
      <c r="C62" s="257" t="s">
        <v>605</v>
      </c>
      <c r="D62" s="257"/>
      <c r="E62" s="258" t="s">
        <v>821</v>
      </c>
      <c r="F62" s="257" t="s">
        <v>606</v>
      </c>
      <c r="G62" s="258">
        <v>4</v>
      </c>
      <c r="H62" s="257">
        <v>1</v>
      </c>
      <c r="I62" s="257" t="s">
        <v>609</v>
      </c>
      <c r="J62" s="261" t="s">
        <v>725</v>
      </c>
      <c r="K62" s="256" t="s">
        <v>727</v>
      </c>
      <c r="L62" s="260"/>
      <c r="M62" s="244"/>
      <c r="N62"/>
    </row>
    <row r="63" spans="1:14" ht="20.5">
      <c r="A63" s="229" t="s">
        <v>728</v>
      </c>
      <c r="B63" s="256" t="s">
        <v>604</v>
      </c>
      <c r="C63" s="257" t="s">
        <v>605</v>
      </c>
      <c r="D63" s="257"/>
      <c r="E63" s="258" t="s">
        <v>822</v>
      </c>
      <c r="F63" s="257" t="s">
        <v>606</v>
      </c>
      <c r="G63" s="259" t="s">
        <v>942</v>
      </c>
      <c r="H63" s="257" t="s">
        <v>595</v>
      </c>
      <c r="I63" s="257" t="s">
        <v>609</v>
      </c>
      <c r="J63" s="261" t="s">
        <v>806</v>
      </c>
      <c r="K63" s="256" t="s">
        <v>610</v>
      </c>
      <c r="L63" s="260"/>
      <c r="M63" s="244"/>
      <c r="N63"/>
    </row>
    <row r="64" spans="1:14">
      <c r="A64" s="255" t="s">
        <v>620</v>
      </c>
      <c r="B64" s="256" t="s">
        <v>621</v>
      </c>
      <c r="C64" s="257" t="s">
        <v>605</v>
      </c>
      <c r="D64" s="257"/>
      <c r="E64" s="298" t="s">
        <v>900</v>
      </c>
      <c r="F64" s="257" t="s">
        <v>606</v>
      </c>
      <c r="G64" s="258" t="s">
        <v>595</v>
      </c>
      <c r="H64" s="257" t="s">
        <v>595</v>
      </c>
      <c r="I64" s="257" t="s">
        <v>607</v>
      </c>
      <c r="J64" s="261" t="s">
        <v>823</v>
      </c>
      <c r="K64" s="256" t="s">
        <v>729</v>
      </c>
      <c r="L64" s="260"/>
      <c r="M64" s="244"/>
      <c r="N64"/>
    </row>
    <row r="65" spans="1:14">
      <c r="A65" s="255" t="s">
        <v>1014</v>
      </c>
      <c r="B65" s="256" t="s">
        <v>622</v>
      </c>
      <c r="C65" s="257" t="s">
        <v>605</v>
      </c>
      <c r="D65" s="257"/>
      <c r="E65" s="298" t="s">
        <v>901</v>
      </c>
      <c r="F65" s="257" t="s">
        <v>606</v>
      </c>
      <c r="G65" s="258">
        <v>2</v>
      </c>
      <c r="H65" s="257">
        <v>1</v>
      </c>
      <c r="I65" s="257" t="s">
        <v>609</v>
      </c>
      <c r="J65" s="261" t="s">
        <v>824</v>
      </c>
      <c r="K65" s="256" t="s">
        <v>825</v>
      </c>
      <c r="L65" s="260"/>
      <c r="M65" s="244"/>
      <c r="N65"/>
    </row>
    <row r="66" spans="1:14">
      <c r="A66" s="229" t="s">
        <v>623</v>
      </c>
      <c r="B66" s="256" t="s">
        <v>561</v>
      </c>
      <c r="C66" s="257" t="s">
        <v>605</v>
      </c>
      <c r="D66" s="256"/>
      <c r="E66" s="298" t="s">
        <v>902</v>
      </c>
      <c r="F66" s="257" t="s">
        <v>606</v>
      </c>
      <c r="G66" s="231">
        <v>4</v>
      </c>
      <c r="H66" s="257" t="s">
        <v>595</v>
      </c>
      <c r="I66" s="257" t="s">
        <v>609</v>
      </c>
      <c r="J66" s="261" t="s">
        <v>826</v>
      </c>
      <c r="K66" s="256" t="s">
        <v>624</v>
      </c>
      <c r="L66" s="260"/>
      <c r="M66" s="278"/>
      <c r="N66"/>
    </row>
    <row r="67" spans="1:14">
      <c r="A67" s="294" t="s">
        <v>881</v>
      </c>
      <c r="B67" s="256" t="s">
        <v>561</v>
      </c>
      <c r="C67" s="257" t="s">
        <v>605</v>
      </c>
      <c r="D67" s="256"/>
      <c r="E67" s="298" t="s">
        <v>903</v>
      </c>
      <c r="F67" s="257" t="s">
        <v>606</v>
      </c>
      <c r="G67" s="231" t="s">
        <v>618</v>
      </c>
      <c r="H67" s="257" t="s">
        <v>595</v>
      </c>
      <c r="I67" s="257" t="s">
        <v>609</v>
      </c>
      <c r="J67" s="261" t="s">
        <v>827</v>
      </c>
      <c r="K67" s="256" t="s">
        <v>624</v>
      </c>
      <c r="L67" s="260"/>
      <c r="M67" s="278" t="s">
        <v>882</v>
      </c>
      <c r="N67"/>
    </row>
    <row r="68" spans="1:14">
      <c r="A68" s="229" t="s">
        <v>625</v>
      </c>
      <c r="B68" s="256" t="s">
        <v>561</v>
      </c>
      <c r="C68" s="257" t="s">
        <v>605</v>
      </c>
      <c r="D68" s="256"/>
      <c r="E68" s="298" t="s">
        <v>904</v>
      </c>
      <c r="F68" s="257" t="s">
        <v>606</v>
      </c>
      <c r="G68" s="231">
        <v>4</v>
      </c>
      <c r="H68" s="257" t="s">
        <v>595</v>
      </c>
      <c r="I68" s="257" t="s">
        <v>609</v>
      </c>
      <c r="J68" s="261" t="s">
        <v>826</v>
      </c>
      <c r="K68" s="256" t="s">
        <v>624</v>
      </c>
      <c r="L68" s="260"/>
      <c r="M68" s="244"/>
      <c r="N68"/>
    </row>
    <row r="69" spans="1:14">
      <c r="A69" s="294" t="s">
        <v>883</v>
      </c>
      <c r="B69" s="256" t="s">
        <v>561</v>
      </c>
      <c r="C69" s="257" t="s">
        <v>605</v>
      </c>
      <c r="D69" s="256"/>
      <c r="E69" s="298" t="s">
        <v>905</v>
      </c>
      <c r="F69" s="257" t="s">
        <v>606</v>
      </c>
      <c r="G69" s="231">
        <v>4</v>
      </c>
      <c r="H69" s="257" t="s">
        <v>595</v>
      </c>
      <c r="I69" s="257" t="s">
        <v>609</v>
      </c>
      <c r="J69" s="261" t="s">
        <v>827</v>
      </c>
      <c r="K69" s="256" t="s">
        <v>624</v>
      </c>
      <c r="L69" s="260"/>
      <c r="M69" s="278" t="s">
        <v>882</v>
      </c>
      <c r="N69"/>
    </row>
    <row r="70" spans="1:14">
      <c r="A70" s="229" t="s">
        <v>626</v>
      </c>
      <c r="B70" s="256" t="s">
        <v>561</v>
      </c>
      <c r="C70" s="257" t="s">
        <v>605</v>
      </c>
      <c r="D70" s="257"/>
      <c r="E70" s="298" t="s">
        <v>906</v>
      </c>
      <c r="F70" s="257" t="s">
        <v>606</v>
      </c>
      <c r="G70" s="231">
        <v>4</v>
      </c>
      <c r="H70" s="257" t="s">
        <v>595</v>
      </c>
      <c r="I70" s="257" t="s">
        <v>609</v>
      </c>
      <c r="J70" s="261" t="s">
        <v>826</v>
      </c>
      <c r="K70" s="256" t="s">
        <v>624</v>
      </c>
      <c r="L70" s="260"/>
      <c r="M70" s="244"/>
      <c r="N70"/>
    </row>
    <row r="71" spans="1:14">
      <c r="A71" s="294" t="s">
        <v>884</v>
      </c>
      <c r="B71" s="256" t="s">
        <v>561</v>
      </c>
      <c r="C71" s="257" t="s">
        <v>605</v>
      </c>
      <c r="D71" s="257"/>
      <c r="E71" s="298" t="s">
        <v>907</v>
      </c>
      <c r="F71" s="257" t="s">
        <v>606</v>
      </c>
      <c r="G71" s="231">
        <v>4</v>
      </c>
      <c r="H71" s="257" t="s">
        <v>595</v>
      </c>
      <c r="I71" s="257" t="s">
        <v>609</v>
      </c>
      <c r="J71" s="261" t="s">
        <v>827</v>
      </c>
      <c r="K71" s="256" t="s">
        <v>624</v>
      </c>
      <c r="L71" s="260"/>
      <c r="M71" s="278" t="s">
        <v>882</v>
      </c>
    </row>
    <row r="72" spans="1:14">
      <c r="A72" s="294" t="s">
        <v>885</v>
      </c>
      <c r="B72" s="256" t="s">
        <v>561</v>
      </c>
      <c r="C72" s="257" t="s">
        <v>605</v>
      </c>
      <c r="D72" s="257"/>
      <c r="E72" s="298" t="s">
        <v>908</v>
      </c>
      <c r="F72" s="257" t="s">
        <v>606</v>
      </c>
      <c r="G72" s="231">
        <v>4</v>
      </c>
      <c r="H72" s="257">
        <v>1</v>
      </c>
      <c r="I72" s="257" t="s">
        <v>609</v>
      </c>
      <c r="J72" s="261" t="s">
        <v>826</v>
      </c>
      <c r="K72" s="256" t="s">
        <v>624</v>
      </c>
      <c r="L72" s="260"/>
      <c r="M72" s="278" t="s">
        <v>882</v>
      </c>
    </row>
    <row r="73" spans="1:14" ht="15" customHeight="1">
      <c r="A73" s="294" t="s">
        <v>886</v>
      </c>
      <c r="B73" s="256" t="s">
        <v>561</v>
      </c>
      <c r="C73" s="257" t="s">
        <v>605</v>
      </c>
      <c r="D73" s="257"/>
      <c r="E73" s="298" t="s">
        <v>909</v>
      </c>
      <c r="F73" s="257" t="s">
        <v>606</v>
      </c>
      <c r="G73" s="231">
        <v>4</v>
      </c>
      <c r="H73" s="257" t="s">
        <v>595</v>
      </c>
      <c r="I73" s="257" t="s">
        <v>609</v>
      </c>
      <c r="J73" s="261" t="s">
        <v>827</v>
      </c>
      <c r="K73" s="256" t="s">
        <v>624</v>
      </c>
      <c r="L73" s="260"/>
      <c r="M73" s="278" t="s">
        <v>882</v>
      </c>
    </row>
    <row r="74" spans="1:14" ht="14.4" customHeight="1">
      <c r="A74" s="294" t="s">
        <v>887</v>
      </c>
      <c r="B74" s="256" t="s">
        <v>561</v>
      </c>
      <c r="C74" s="257" t="s">
        <v>605</v>
      </c>
      <c r="D74" s="257"/>
      <c r="E74" s="298" t="s">
        <v>910</v>
      </c>
      <c r="F74" s="257" t="s">
        <v>606</v>
      </c>
      <c r="G74" s="231">
        <v>4</v>
      </c>
      <c r="H74" s="257" t="s">
        <v>595</v>
      </c>
      <c r="I74" s="257" t="s">
        <v>609</v>
      </c>
      <c r="J74" s="261" t="s">
        <v>826</v>
      </c>
      <c r="K74" s="256" t="s">
        <v>624</v>
      </c>
      <c r="L74" s="260"/>
      <c r="M74" s="278" t="s">
        <v>882</v>
      </c>
    </row>
    <row r="75" spans="1:14">
      <c r="A75" s="294" t="s">
        <v>888</v>
      </c>
      <c r="B75" s="256" t="s">
        <v>561</v>
      </c>
      <c r="C75" s="257" t="s">
        <v>605</v>
      </c>
      <c r="D75" s="257"/>
      <c r="E75" s="298" t="s">
        <v>911</v>
      </c>
      <c r="F75" s="257" t="s">
        <v>606</v>
      </c>
      <c r="G75" s="231">
        <v>4</v>
      </c>
      <c r="H75" s="257">
        <v>1</v>
      </c>
      <c r="I75" s="257" t="s">
        <v>609</v>
      </c>
      <c r="J75" s="261" t="s">
        <v>827</v>
      </c>
      <c r="K75" s="256" t="s">
        <v>624</v>
      </c>
      <c r="L75" s="260"/>
      <c r="M75" s="278" t="s">
        <v>882</v>
      </c>
    </row>
    <row r="76" spans="1:14" ht="14.4" customHeight="1">
      <c r="A76" s="229" t="s">
        <v>627</v>
      </c>
      <c r="B76" s="256" t="s">
        <v>561</v>
      </c>
      <c r="C76" s="257" t="s">
        <v>605</v>
      </c>
      <c r="D76" s="257"/>
      <c r="E76" s="298" t="s">
        <v>912</v>
      </c>
      <c r="F76" s="257" t="s">
        <v>606</v>
      </c>
      <c r="G76" s="231">
        <v>4</v>
      </c>
      <c r="H76" s="257">
        <v>1</v>
      </c>
      <c r="I76" s="257" t="s">
        <v>609</v>
      </c>
      <c r="J76" s="261" t="s">
        <v>827</v>
      </c>
      <c r="K76" s="256" t="s">
        <v>624</v>
      </c>
      <c r="L76" s="260"/>
      <c r="M76" s="244"/>
    </row>
    <row r="77" spans="1:14" ht="14.4" customHeight="1">
      <c r="A77" s="229" t="s">
        <v>628</v>
      </c>
      <c r="B77" s="256" t="s">
        <v>561</v>
      </c>
      <c r="C77" s="257" t="s">
        <v>605</v>
      </c>
      <c r="D77" s="257"/>
      <c r="E77" s="298" t="s">
        <v>913</v>
      </c>
      <c r="F77" s="257" t="s">
        <v>606</v>
      </c>
      <c r="G77" s="231">
        <v>4</v>
      </c>
      <c r="H77" s="257" t="s">
        <v>595</v>
      </c>
      <c r="I77" s="257" t="s">
        <v>609</v>
      </c>
      <c r="J77" s="261" t="s">
        <v>827</v>
      </c>
      <c r="K77" s="256" t="s">
        <v>624</v>
      </c>
      <c r="L77" s="260"/>
      <c r="M77" s="244"/>
    </row>
    <row r="78" spans="1:14">
      <c r="A78" s="229" t="s">
        <v>629</v>
      </c>
      <c r="B78" s="256" t="s">
        <v>561</v>
      </c>
      <c r="C78" s="257" t="s">
        <v>605</v>
      </c>
      <c r="D78" s="257"/>
      <c r="E78" s="298" t="s">
        <v>914</v>
      </c>
      <c r="F78" s="257" t="s">
        <v>606</v>
      </c>
      <c r="G78" s="231">
        <v>4</v>
      </c>
      <c r="H78" s="257">
        <v>1</v>
      </c>
      <c r="I78" s="257" t="s">
        <v>609</v>
      </c>
      <c r="J78" s="261" t="s">
        <v>827</v>
      </c>
      <c r="K78" s="256" t="s">
        <v>624</v>
      </c>
      <c r="L78" s="260"/>
      <c r="M78" s="244"/>
    </row>
    <row r="79" spans="1:14">
      <c r="A79" s="229" t="s">
        <v>630</v>
      </c>
      <c r="B79" s="256" t="s">
        <v>561</v>
      </c>
      <c r="C79" s="257" t="s">
        <v>605</v>
      </c>
      <c r="D79" s="257"/>
      <c r="E79" s="298" t="s">
        <v>915</v>
      </c>
      <c r="F79" s="257" t="s">
        <v>606</v>
      </c>
      <c r="G79" s="231">
        <v>4</v>
      </c>
      <c r="H79" s="257">
        <v>1</v>
      </c>
      <c r="I79" s="257" t="s">
        <v>609</v>
      </c>
      <c r="J79" s="261" t="s">
        <v>827</v>
      </c>
      <c r="K79" s="256" t="s">
        <v>624</v>
      </c>
      <c r="L79" s="260"/>
      <c r="M79" s="244"/>
    </row>
    <row r="80" spans="1:14">
      <c r="A80" s="229" t="s">
        <v>631</v>
      </c>
      <c r="B80" s="256" t="s">
        <v>561</v>
      </c>
      <c r="C80" s="257" t="s">
        <v>605</v>
      </c>
      <c r="D80" s="257"/>
      <c r="E80" s="298" t="s">
        <v>916</v>
      </c>
      <c r="F80" s="257" t="s">
        <v>606</v>
      </c>
      <c r="G80" s="231">
        <v>4</v>
      </c>
      <c r="H80" s="257" t="s">
        <v>595</v>
      </c>
      <c r="I80" s="257" t="s">
        <v>609</v>
      </c>
      <c r="J80" s="261" t="s">
        <v>827</v>
      </c>
      <c r="K80" s="256" t="s">
        <v>624</v>
      </c>
      <c r="L80" s="260"/>
      <c r="M80" s="244"/>
    </row>
    <row r="81" spans="1:13" ht="14.4" customHeight="1">
      <c r="A81" s="229" t="s">
        <v>632</v>
      </c>
      <c r="B81" s="256" t="s">
        <v>561</v>
      </c>
      <c r="C81" s="257" t="s">
        <v>605</v>
      </c>
      <c r="D81" s="257"/>
      <c r="E81" s="298" t="s">
        <v>917</v>
      </c>
      <c r="F81" s="257" t="s">
        <v>606</v>
      </c>
      <c r="G81" s="231">
        <v>4</v>
      </c>
      <c r="H81" s="257">
        <v>1</v>
      </c>
      <c r="I81" s="257" t="s">
        <v>609</v>
      </c>
      <c r="J81" s="261" t="s">
        <v>827</v>
      </c>
      <c r="K81" s="256" t="s">
        <v>624</v>
      </c>
      <c r="L81" s="260"/>
      <c r="M81" s="244"/>
    </row>
    <row r="82" spans="1:13" ht="14.4" customHeight="1">
      <c r="A82" s="294" t="s">
        <v>889</v>
      </c>
      <c r="B82" s="256" t="s">
        <v>561</v>
      </c>
      <c r="C82" s="257" t="s">
        <v>605</v>
      </c>
      <c r="D82" s="257"/>
      <c r="E82" s="298" t="s">
        <v>918</v>
      </c>
      <c r="F82" s="257" t="s">
        <v>606</v>
      </c>
      <c r="G82" s="231">
        <v>4</v>
      </c>
      <c r="H82" s="257" t="s">
        <v>595</v>
      </c>
      <c r="I82" s="257" t="s">
        <v>609</v>
      </c>
      <c r="J82" s="261" t="s">
        <v>826</v>
      </c>
      <c r="K82" s="256" t="s">
        <v>624</v>
      </c>
      <c r="L82" s="260"/>
      <c r="M82" s="278" t="s">
        <v>882</v>
      </c>
    </row>
    <row r="83" spans="1:13" ht="25">
      <c r="A83" s="294" t="s">
        <v>890</v>
      </c>
      <c r="B83" s="256" t="s">
        <v>561</v>
      </c>
      <c r="C83" s="257" t="s">
        <v>605</v>
      </c>
      <c r="D83" s="257"/>
      <c r="E83" s="298" t="s">
        <v>919</v>
      </c>
      <c r="F83" s="257" t="s">
        <v>606</v>
      </c>
      <c r="G83" s="231">
        <v>4</v>
      </c>
      <c r="H83" s="257" t="s">
        <v>595</v>
      </c>
      <c r="I83" s="257" t="s">
        <v>609</v>
      </c>
      <c r="J83" s="261" t="s">
        <v>827</v>
      </c>
      <c r="K83" s="256" t="s">
        <v>624</v>
      </c>
      <c r="L83" s="260"/>
      <c r="M83" s="278" t="s">
        <v>882</v>
      </c>
    </row>
    <row r="84" spans="1:13" ht="14.4" customHeight="1">
      <c r="A84" s="294" t="s">
        <v>891</v>
      </c>
      <c r="B84" s="256" t="s">
        <v>561</v>
      </c>
      <c r="C84" s="257" t="s">
        <v>605</v>
      </c>
      <c r="D84" s="257"/>
      <c r="E84" s="298" t="s">
        <v>920</v>
      </c>
      <c r="F84" s="257" t="s">
        <v>606</v>
      </c>
      <c r="G84" s="231">
        <v>4</v>
      </c>
      <c r="H84" s="257" t="s">
        <v>595</v>
      </c>
      <c r="I84" s="257" t="s">
        <v>609</v>
      </c>
      <c r="J84" s="261" t="s">
        <v>826</v>
      </c>
      <c r="K84" s="256" t="s">
        <v>633</v>
      </c>
      <c r="L84" s="260"/>
      <c r="M84" s="278" t="s">
        <v>882</v>
      </c>
    </row>
    <row r="85" spans="1:13">
      <c r="A85" s="294" t="s">
        <v>892</v>
      </c>
      <c r="B85" s="256" t="s">
        <v>561</v>
      </c>
      <c r="C85" s="257" t="s">
        <v>605</v>
      </c>
      <c r="D85" s="257"/>
      <c r="E85" s="298" t="s">
        <v>921</v>
      </c>
      <c r="F85" s="257" t="s">
        <v>606</v>
      </c>
      <c r="G85" s="231">
        <v>4</v>
      </c>
      <c r="H85" s="257" t="s">
        <v>595</v>
      </c>
      <c r="I85" s="257" t="s">
        <v>609</v>
      </c>
      <c r="J85" s="261" t="s">
        <v>827</v>
      </c>
      <c r="K85" s="256" t="s">
        <v>633</v>
      </c>
      <c r="L85" s="260"/>
      <c r="M85" s="278" t="s">
        <v>882</v>
      </c>
    </row>
    <row r="86" spans="1:13">
      <c r="A86" s="294" t="s">
        <v>893</v>
      </c>
      <c r="B86" s="256" t="s">
        <v>561</v>
      </c>
      <c r="C86" s="257" t="s">
        <v>605</v>
      </c>
      <c r="D86" s="257"/>
      <c r="E86" s="298" t="s">
        <v>922</v>
      </c>
      <c r="F86" s="257" t="s">
        <v>606</v>
      </c>
      <c r="G86" s="231">
        <v>4</v>
      </c>
      <c r="H86" s="257" t="s">
        <v>595</v>
      </c>
      <c r="I86" s="257" t="s">
        <v>609</v>
      </c>
      <c r="J86" s="261" t="s">
        <v>826</v>
      </c>
      <c r="K86" s="256" t="s">
        <v>633</v>
      </c>
      <c r="L86" s="260"/>
      <c r="M86" s="278" t="s">
        <v>882</v>
      </c>
    </row>
    <row r="87" spans="1:13">
      <c r="A87" s="294" t="s">
        <v>894</v>
      </c>
      <c r="B87" s="256" t="s">
        <v>561</v>
      </c>
      <c r="C87" s="257" t="s">
        <v>605</v>
      </c>
      <c r="D87" s="257"/>
      <c r="E87" s="298" t="s">
        <v>923</v>
      </c>
      <c r="F87" s="257" t="s">
        <v>606</v>
      </c>
      <c r="G87" s="231">
        <v>4</v>
      </c>
      <c r="H87" s="257" t="s">
        <v>595</v>
      </c>
      <c r="I87" s="257" t="s">
        <v>609</v>
      </c>
      <c r="J87" s="261" t="s">
        <v>827</v>
      </c>
      <c r="K87" s="256" t="s">
        <v>633</v>
      </c>
      <c r="L87" s="260"/>
      <c r="M87" s="278" t="s">
        <v>882</v>
      </c>
    </row>
    <row r="88" spans="1:13">
      <c r="A88" s="294" t="s">
        <v>895</v>
      </c>
      <c r="B88" s="256" t="s">
        <v>561</v>
      </c>
      <c r="C88" s="257" t="s">
        <v>605</v>
      </c>
      <c r="D88" s="257"/>
      <c r="E88" s="298" t="s">
        <v>924</v>
      </c>
      <c r="F88" s="257" t="s">
        <v>606</v>
      </c>
      <c r="G88" s="231">
        <v>4</v>
      </c>
      <c r="H88" s="257" t="s">
        <v>595</v>
      </c>
      <c r="I88" s="257" t="s">
        <v>609</v>
      </c>
      <c r="J88" s="261" t="s">
        <v>826</v>
      </c>
      <c r="K88" s="256" t="s">
        <v>633</v>
      </c>
      <c r="L88" s="260"/>
      <c r="M88" s="278" t="s">
        <v>882</v>
      </c>
    </row>
    <row r="89" spans="1:13">
      <c r="A89" s="294" t="s">
        <v>896</v>
      </c>
      <c r="B89" s="256" t="s">
        <v>561</v>
      </c>
      <c r="C89" s="257" t="s">
        <v>605</v>
      </c>
      <c r="D89" s="257"/>
      <c r="E89" s="298" t="s">
        <v>925</v>
      </c>
      <c r="F89" s="257" t="s">
        <v>606</v>
      </c>
      <c r="G89" s="231">
        <v>4</v>
      </c>
      <c r="H89" s="257" t="s">
        <v>595</v>
      </c>
      <c r="I89" s="257" t="s">
        <v>609</v>
      </c>
      <c r="J89" s="261" t="s">
        <v>827</v>
      </c>
      <c r="K89" s="256" t="s">
        <v>633</v>
      </c>
      <c r="L89" s="260"/>
      <c r="M89" s="278" t="s">
        <v>882</v>
      </c>
    </row>
    <row r="90" spans="1:13">
      <c r="A90" s="229" t="s">
        <v>730</v>
      </c>
      <c r="B90" s="256" t="s">
        <v>604</v>
      </c>
      <c r="C90" s="257" t="s">
        <v>605</v>
      </c>
      <c r="D90" s="257"/>
      <c r="E90" s="298" t="s">
        <v>926</v>
      </c>
      <c r="F90" s="257" t="s">
        <v>606</v>
      </c>
      <c r="G90" s="258">
        <v>4</v>
      </c>
      <c r="H90" s="257" t="s">
        <v>595</v>
      </c>
      <c r="I90" s="257" t="s">
        <v>609</v>
      </c>
      <c r="J90" s="261" t="s">
        <v>827</v>
      </c>
      <c r="K90" s="256" t="s">
        <v>633</v>
      </c>
      <c r="L90" s="260"/>
      <c r="M90" s="244"/>
    </row>
    <row r="91" spans="1:13">
      <c r="A91" s="229" t="s">
        <v>731</v>
      </c>
      <c r="B91" s="256" t="s">
        <v>604</v>
      </c>
      <c r="C91" s="257" t="s">
        <v>605</v>
      </c>
      <c r="D91" s="257"/>
      <c r="E91" s="298" t="s">
        <v>927</v>
      </c>
      <c r="F91" s="257" t="s">
        <v>606</v>
      </c>
      <c r="G91" s="258">
        <v>4</v>
      </c>
      <c r="H91" s="257" t="s">
        <v>595</v>
      </c>
      <c r="I91" s="257" t="s">
        <v>609</v>
      </c>
      <c r="J91" s="261" t="s">
        <v>827</v>
      </c>
      <c r="K91" s="256" t="s">
        <v>633</v>
      </c>
      <c r="L91" s="260"/>
      <c r="M91" s="244"/>
    </row>
    <row r="92" spans="1:13">
      <c r="A92" s="229" t="s">
        <v>732</v>
      </c>
      <c r="B92" s="256" t="s">
        <v>604</v>
      </c>
      <c r="C92" s="257" t="s">
        <v>605</v>
      </c>
      <c r="D92" s="257"/>
      <c r="E92" s="298" t="s">
        <v>928</v>
      </c>
      <c r="F92" s="257" t="s">
        <v>606</v>
      </c>
      <c r="G92" s="258">
        <v>4</v>
      </c>
      <c r="H92" s="257" t="s">
        <v>595</v>
      </c>
      <c r="I92" s="257" t="s">
        <v>609</v>
      </c>
      <c r="J92" s="261" t="s">
        <v>827</v>
      </c>
      <c r="K92" s="256" t="s">
        <v>633</v>
      </c>
      <c r="L92" s="260"/>
      <c r="M92" s="244"/>
    </row>
    <row r="93" spans="1:13">
      <c r="A93" s="229" t="s">
        <v>733</v>
      </c>
      <c r="B93" s="256" t="s">
        <v>604</v>
      </c>
      <c r="C93" s="257" t="s">
        <v>605</v>
      </c>
      <c r="D93" s="257"/>
      <c r="E93" s="298" t="s">
        <v>929</v>
      </c>
      <c r="F93" s="257" t="s">
        <v>606</v>
      </c>
      <c r="G93" s="258">
        <v>4</v>
      </c>
      <c r="H93" s="257" t="s">
        <v>595</v>
      </c>
      <c r="I93" s="257" t="s">
        <v>609</v>
      </c>
      <c r="J93" s="261" t="s">
        <v>827</v>
      </c>
      <c r="K93" s="256" t="s">
        <v>610</v>
      </c>
      <c r="L93" s="260"/>
      <c r="M93" s="244"/>
    </row>
    <row r="94" spans="1:13">
      <c r="A94" s="229" t="s">
        <v>734</v>
      </c>
      <c r="B94" s="256" t="s">
        <v>604</v>
      </c>
      <c r="C94" s="257" t="s">
        <v>605</v>
      </c>
      <c r="D94" s="257"/>
      <c r="E94" s="298" t="s">
        <v>930</v>
      </c>
      <c r="F94" s="257" t="s">
        <v>606</v>
      </c>
      <c r="G94" s="258">
        <v>4</v>
      </c>
      <c r="H94" s="257" t="s">
        <v>595</v>
      </c>
      <c r="I94" s="257" t="s">
        <v>609</v>
      </c>
      <c r="J94" s="261" t="s">
        <v>827</v>
      </c>
      <c r="K94" s="256" t="s">
        <v>610</v>
      </c>
      <c r="L94" s="260"/>
      <c r="M94" s="244"/>
    </row>
    <row r="95" spans="1:13">
      <c r="A95" s="229" t="s">
        <v>735</v>
      </c>
      <c r="B95" s="256" t="s">
        <v>604</v>
      </c>
      <c r="C95" s="257" t="s">
        <v>605</v>
      </c>
      <c r="D95" s="257"/>
      <c r="E95" s="298" t="s">
        <v>931</v>
      </c>
      <c r="F95" s="257" t="s">
        <v>606</v>
      </c>
      <c r="G95" s="258">
        <v>4</v>
      </c>
      <c r="H95" s="257" t="s">
        <v>595</v>
      </c>
      <c r="I95" s="257" t="s">
        <v>609</v>
      </c>
      <c r="J95" s="261" t="s">
        <v>827</v>
      </c>
      <c r="K95" s="256" t="s">
        <v>610</v>
      </c>
      <c r="L95" s="260"/>
      <c r="M95" s="244"/>
    </row>
    <row r="96" spans="1:13">
      <c r="A96" s="229" t="s">
        <v>736</v>
      </c>
      <c r="B96" s="256" t="s">
        <v>604</v>
      </c>
      <c r="C96" s="257" t="s">
        <v>605</v>
      </c>
      <c r="D96" s="257"/>
      <c r="E96" s="298" t="s">
        <v>932</v>
      </c>
      <c r="F96" s="257" t="s">
        <v>606</v>
      </c>
      <c r="G96" s="258">
        <v>4</v>
      </c>
      <c r="H96" s="257" t="s">
        <v>595</v>
      </c>
      <c r="I96" s="257" t="s">
        <v>609</v>
      </c>
      <c r="J96" s="261" t="s">
        <v>827</v>
      </c>
      <c r="K96" s="256" t="s">
        <v>633</v>
      </c>
      <c r="L96" s="260"/>
      <c r="M96" s="244"/>
    </row>
    <row r="97" spans="1:13" ht="14.5">
      <c r="A97" s="229" t="s">
        <v>737</v>
      </c>
      <c r="B97" s="256" t="s">
        <v>604</v>
      </c>
      <c r="C97" s="257" t="s">
        <v>605</v>
      </c>
      <c r="D97" s="257"/>
      <c r="E97" s="298" t="s">
        <v>933</v>
      </c>
      <c r="F97" s="257" t="s">
        <v>738</v>
      </c>
      <c r="G97" s="258">
        <v>4</v>
      </c>
      <c r="H97" s="257" t="s">
        <v>595</v>
      </c>
      <c r="I97" s="257" t="s">
        <v>609</v>
      </c>
      <c r="J97" s="261" t="s">
        <v>827</v>
      </c>
      <c r="K97" s="256" t="s">
        <v>633</v>
      </c>
      <c r="L97" s="253" t="s">
        <v>587</v>
      </c>
      <c r="M97" s="244"/>
    </row>
    <row r="98" spans="1:13">
      <c r="A98" s="229" t="s">
        <v>739</v>
      </c>
      <c r="B98" s="256" t="s">
        <v>604</v>
      </c>
      <c r="C98" s="257" t="s">
        <v>605</v>
      </c>
      <c r="D98" s="257"/>
      <c r="E98" s="298" t="s">
        <v>934</v>
      </c>
      <c r="F98" s="257" t="s">
        <v>606</v>
      </c>
      <c r="G98" s="258">
        <v>4</v>
      </c>
      <c r="H98" s="257" t="s">
        <v>595</v>
      </c>
      <c r="I98" s="257" t="s">
        <v>609</v>
      </c>
      <c r="J98" s="261" t="s">
        <v>827</v>
      </c>
      <c r="K98" s="256" t="s">
        <v>633</v>
      </c>
      <c r="L98" s="244" t="s">
        <v>587</v>
      </c>
      <c r="M98" s="244"/>
    </row>
    <row r="99" spans="1:13">
      <c r="A99" s="229" t="s">
        <v>740</v>
      </c>
      <c r="B99" s="256" t="s">
        <v>604</v>
      </c>
      <c r="C99" s="257" t="s">
        <v>605</v>
      </c>
      <c r="D99" s="257"/>
      <c r="E99" s="298" t="s">
        <v>935</v>
      </c>
      <c r="F99" s="257" t="s">
        <v>606</v>
      </c>
      <c r="G99" s="258">
        <v>4</v>
      </c>
      <c r="H99" s="257" t="s">
        <v>595</v>
      </c>
      <c r="I99" s="257" t="s">
        <v>609</v>
      </c>
      <c r="J99" s="261" t="s">
        <v>827</v>
      </c>
      <c r="K99" s="256" t="s">
        <v>633</v>
      </c>
      <c r="L99" s="244"/>
      <c r="M99" s="244"/>
    </row>
    <row r="100" spans="1:13">
      <c r="A100" s="229" t="s">
        <v>741</v>
      </c>
      <c r="B100" s="256" t="s">
        <v>604</v>
      </c>
      <c r="C100" s="257" t="s">
        <v>605</v>
      </c>
      <c r="D100" s="257"/>
      <c r="E100" s="298" t="s">
        <v>936</v>
      </c>
      <c r="F100" s="257" t="s">
        <v>606</v>
      </c>
      <c r="G100" s="258">
        <v>4</v>
      </c>
      <c r="H100" s="257" t="s">
        <v>595</v>
      </c>
      <c r="I100" s="257" t="s">
        <v>609</v>
      </c>
      <c r="J100" s="261" t="s">
        <v>827</v>
      </c>
      <c r="K100" s="256" t="s">
        <v>633</v>
      </c>
      <c r="L100" s="244"/>
      <c r="M100" s="244"/>
    </row>
    <row r="101" spans="1:13">
      <c r="A101" s="229" t="s">
        <v>742</v>
      </c>
      <c r="B101" s="256" t="s">
        <v>604</v>
      </c>
      <c r="C101" s="257" t="s">
        <v>605</v>
      </c>
      <c r="D101" s="257"/>
      <c r="E101" s="298" t="s">
        <v>937</v>
      </c>
      <c r="F101" s="257" t="s">
        <v>606</v>
      </c>
      <c r="G101" s="258">
        <v>4</v>
      </c>
      <c r="H101" s="257" t="s">
        <v>595</v>
      </c>
      <c r="I101" s="257" t="s">
        <v>609</v>
      </c>
      <c r="J101" s="261" t="s">
        <v>827</v>
      </c>
      <c r="K101" s="256" t="s">
        <v>633</v>
      </c>
      <c r="L101" s="244"/>
      <c r="M101" s="244"/>
    </row>
    <row r="102" spans="1:13">
      <c r="A102" s="229" t="s">
        <v>743</v>
      </c>
      <c r="B102" s="256" t="s">
        <v>604</v>
      </c>
      <c r="C102" s="257" t="s">
        <v>605</v>
      </c>
      <c r="D102" s="257"/>
      <c r="E102" s="298" t="s">
        <v>938</v>
      </c>
      <c r="F102" s="257" t="s">
        <v>606</v>
      </c>
      <c r="G102" s="258">
        <v>4</v>
      </c>
      <c r="H102" s="257" t="s">
        <v>595</v>
      </c>
      <c r="I102" s="257" t="s">
        <v>609</v>
      </c>
      <c r="J102" s="261" t="s">
        <v>827</v>
      </c>
      <c r="K102" s="256" t="s">
        <v>633</v>
      </c>
      <c r="L102" s="244"/>
      <c r="M102" s="244"/>
    </row>
    <row r="103" spans="1:13">
      <c r="A103" s="229" t="s">
        <v>744</v>
      </c>
      <c r="B103" s="256" t="s">
        <v>604</v>
      </c>
      <c r="C103" s="257" t="s">
        <v>605</v>
      </c>
      <c r="D103" s="257"/>
      <c r="E103" s="298" t="s">
        <v>939</v>
      </c>
      <c r="F103" s="257" t="s">
        <v>606</v>
      </c>
      <c r="G103" s="258">
        <v>4</v>
      </c>
      <c r="H103" s="257" t="s">
        <v>595</v>
      </c>
      <c r="I103" s="257" t="s">
        <v>609</v>
      </c>
      <c r="J103" s="261" t="s">
        <v>827</v>
      </c>
      <c r="K103" s="256" t="s">
        <v>633</v>
      </c>
      <c r="L103" s="244"/>
      <c r="M103" s="244"/>
    </row>
    <row r="104" spans="1:13" ht="20.5">
      <c r="A104" s="262" t="s">
        <v>634</v>
      </c>
      <c r="B104" s="256" t="s">
        <v>121</v>
      </c>
      <c r="C104" s="257" t="s">
        <v>605</v>
      </c>
      <c r="D104" s="257"/>
      <c r="E104" s="298" t="s">
        <v>940</v>
      </c>
      <c r="F104" s="257" t="s">
        <v>606</v>
      </c>
      <c r="G104" s="258">
        <v>4</v>
      </c>
      <c r="H104" s="257" t="s">
        <v>595</v>
      </c>
      <c r="I104" s="257" t="s">
        <v>609</v>
      </c>
      <c r="J104" s="261" t="s">
        <v>828</v>
      </c>
      <c r="K104" s="256" t="s">
        <v>635</v>
      </c>
      <c r="L104" s="244"/>
      <c r="M104" s="244"/>
    </row>
    <row r="105" spans="1:13">
      <c r="A105" s="229" t="s">
        <v>745</v>
      </c>
      <c r="B105" s="256" t="s">
        <v>604</v>
      </c>
      <c r="C105" s="257" t="s">
        <v>605</v>
      </c>
      <c r="D105" s="257"/>
      <c r="E105" s="298" t="s">
        <v>941</v>
      </c>
      <c r="F105" s="257" t="s">
        <v>606</v>
      </c>
      <c r="G105" s="258">
        <v>4</v>
      </c>
      <c r="H105" s="257">
        <v>1</v>
      </c>
      <c r="I105" s="257" t="s">
        <v>609</v>
      </c>
      <c r="J105" s="261" t="s">
        <v>827</v>
      </c>
      <c r="K105" s="256"/>
      <c r="L105" s="244"/>
      <c r="M105" s="244"/>
    </row>
    <row r="106" spans="1:13">
      <c r="A106" s="149" t="s">
        <v>794</v>
      </c>
      <c r="B106" s="244"/>
      <c r="C106" s="244"/>
      <c r="D106" s="244"/>
      <c r="E106" s="244"/>
      <c r="F106" s="244"/>
      <c r="G106" s="244"/>
      <c r="H106" s="244"/>
      <c r="I106" s="244"/>
      <c r="J106" s="254"/>
      <c r="K106" s="244"/>
      <c r="L106" s="244"/>
      <c r="M106" s="244"/>
    </row>
    <row r="107" spans="1:13">
      <c r="A107" t="s">
        <v>587</v>
      </c>
      <c r="B107" t="s">
        <v>587</v>
      </c>
      <c r="C107" t="s">
        <v>587</v>
      </c>
      <c r="D107" t="s">
        <v>587</v>
      </c>
      <c r="E107" t="s">
        <v>587</v>
      </c>
      <c r="F107" t="s">
        <v>587</v>
      </c>
      <c r="G107" t="s">
        <v>587</v>
      </c>
      <c r="H107" t="s">
        <v>587</v>
      </c>
      <c r="I107" t="s">
        <v>587</v>
      </c>
      <c r="J107" s="250" t="s">
        <v>587</v>
      </c>
      <c r="K107" t="s">
        <v>587</v>
      </c>
      <c r="L107" t="s">
        <v>587</v>
      </c>
      <c r="M107"/>
    </row>
    <row r="108" spans="1:13" ht="14.5" thickBot="1">
      <c r="A108" t="s">
        <v>587</v>
      </c>
      <c r="B108" t="s">
        <v>587</v>
      </c>
      <c r="C108" t="s">
        <v>587</v>
      </c>
      <c r="D108" t="s">
        <v>587</v>
      </c>
      <c r="E108" t="s">
        <v>587</v>
      </c>
      <c r="F108" t="s">
        <v>587</v>
      </c>
      <c r="G108" t="s">
        <v>587</v>
      </c>
      <c r="H108" t="s">
        <v>587</v>
      </c>
      <c r="I108" t="s">
        <v>587</v>
      </c>
      <c r="J108" s="250" t="s">
        <v>587</v>
      </c>
      <c r="K108"/>
      <c r="L108"/>
      <c r="M108"/>
    </row>
    <row r="109" spans="1:13" ht="16.5" thickTop="1" thickBot="1">
      <c r="A109" s="263" t="s">
        <v>519</v>
      </c>
      <c r="B109"/>
      <c r="C109"/>
      <c r="D109"/>
      <c r="E109"/>
      <c r="F109"/>
      <c r="G109"/>
      <c r="H109"/>
      <c r="I109"/>
      <c r="J109" s="250"/>
      <c r="M109"/>
    </row>
    <row r="110" spans="1:13" ht="25.5" thickTop="1">
      <c r="A110" s="146" t="s">
        <v>636</v>
      </c>
      <c r="B110" s="279" t="s">
        <v>829</v>
      </c>
      <c r="C110" s="234"/>
      <c r="J110" s="264"/>
      <c r="M110"/>
    </row>
    <row r="111" spans="1:13" ht="25">
      <c r="A111" s="146" t="s">
        <v>637</v>
      </c>
      <c r="B111" s="279" t="s">
        <v>638</v>
      </c>
      <c r="C111" s="234"/>
      <c r="J111" s="264"/>
      <c r="M111"/>
    </row>
    <row r="112" spans="1:13">
      <c r="A112" s="146" t="s">
        <v>639</v>
      </c>
      <c r="B112" s="234" t="s">
        <v>640</v>
      </c>
      <c r="C112" s="234"/>
      <c r="J112" s="264"/>
      <c r="M112"/>
    </row>
    <row r="113" spans="1:13" ht="25">
      <c r="A113" s="146" t="s">
        <v>641</v>
      </c>
      <c r="B113" s="234" t="s">
        <v>830</v>
      </c>
      <c r="C113" s="234"/>
      <c r="J113" s="264"/>
      <c r="M113"/>
    </row>
    <row r="114" spans="1:13" ht="25">
      <c r="A114" s="146" t="s">
        <v>642</v>
      </c>
      <c r="B114" s="234" t="s">
        <v>643</v>
      </c>
      <c r="C114" s="234"/>
      <c r="J114" s="264"/>
    </row>
    <row r="115" spans="1:13">
      <c r="A115" s="146" t="s">
        <v>644</v>
      </c>
      <c r="B115" s="234" t="s">
        <v>831</v>
      </c>
      <c r="C115" s="234"/>
      <c r="J115" s="264"/>
    </row>
    <row r="116" spans="1:13">
      <c r="A116" s="146" t="s">
        <v>645</v>
      </c>
      <c r="B116" s="234" t="s">
        <v>646</v>
      </c>
      <c r="C116" s="234"/>
      <c r="J116" s="264"/>
    </row>
    <row r="117" spans="1:13">
      <c r="A117" s="146" t="s">
        <v>647</v>
      </c>
      <c r="B117" s="234" t="s">
        <v>648</v>
      </c>
      <c r="C117" s="234"/>
      <c r="J117" s="264"/>
    </row>
    <row r="118" spans="1:13" ht="37.5">
      <c r="A118" s="146" t="s">
        <v>649</v>
      </c>
      <c r="B118" s="279" t="s">
        <v>832</v>
      </c>
      <c r="C118" s="234"/>
      <c r="J118" s="264"/>
    </row>
    <row r="119" spans="1:13" ht="37.5">
      <c r="A119" s="146" t="s">
        <v>650</v>
      </c>
      <c r="B119" s="234" t="s">
        <v>833</v>
      </c>
      <c r="C119" s="234"/>
      <c r="J119" s="264"/>
    </row>
    <row r="120" spans="1:13">
      <c r="A120" s="146" t="s">
        <v>651</v>
      </c>
      <c r="B120" s="234" t="s">
        <v>652</v>
      </c>
      <c r="C120" s="234"/>
      <c r="J120" s="264"/>
    </row>
    <row r="121" spans="1:13" ht="37.5">
      <c r="A121" s="146" t="s">
        <v>653</v>
      </c>
      <c r="B121" s="234" t="s">
        <v>654</v>
      </c>
      <c r="C121" s="234"/>
      <c r="J121" s="264"/>
      <c r="K121"/>
      <c r="L121"/>
    </row>
  </sheetData>
  <mergeCells count="1">
    <mergeCell ref="E1:H1"/>
  </mergeCells>
  <phoneticPr fontId="29"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I45"/>
  <sheetViews>
    <sheetView showGridLines="0" topLeftCell="A24" workbookViewId="0">
      <selection activeCell="C16" sqref="C16:D19"/>
    </sheetView>
  </sheetViews>
  <sheetFormatPr defaultRowHeight="12.5"/>
  <cols>
    <col min="1" max="1" width="6.453125" style="26" customWidth="1"/>
    <col min="2" max="2" width="8.90625" style="26"/>
    <col min="3" max="3" width="11.453125" style="26" customWidth="1"/>
    <col min="4" max="4" width="21.54296875" style="26" customWidth="1"/>
    <col min="5" max="5" width="50.08984375" style="26" customWidth="1"/>
    <col min="7" max="7" width="17.08984375" customWidth="1"/>
  </cols>
  <sheetData>
    <row r="1" spans="1:9" ht="15.65" customHeight="1">
      <c r="A1" s="418" t="s">
        <v>558</v>
      </c>
      <c r="B1" s="419"/>
      <c r="C1" s="419"/>
      <c r="D1" s="419"/>
      <c r="E1" s="420"/>
      <c r="F1" s="8"/>
      <c r="H1" s="8"/>
      <c r="I1" s="8"/>
    </row>
    <row r="2" spans="1:9" ht="12.75" customHeight="1">
      <c r="A2" s="23" t="s">
        <v>2</v>
      </c>
      <c r="B2" s="30" t="s">
        <v>559</v>
      </c>
      <c r="C2" s="30" t="s">
        <v>144</v>
      </c>
      <c r="D2" s="434" t="s">
        <v>560</v>
      </c>
      <c r="E2" s="436"/>
      <c r="F2" s="8"/>
      <c r="H2" s="8"/>
      <c r="I2" s="8"/>
    </row>
    <row r="3" spans="1:9" ht="12.75" customHeight="1">
      <c r="A3" s="85">
        <v>0</v>
      </c>
      <c r="B3" s="63" t="s">
        <v>561</v>
      </c>
      <c r="C3" s="89" t="s">
        <v>562</v>
      </c>
      <c r="D3" s="437" t="s">
        <v>563</v>
      </c>
      <c r="E3" s="438"/>
      <c r="F3" s="8"/>
      <c r="H3" s="8"/>
      <c r="I3" s="8"/>
    </row>
    <row r="4" spans="1:9">
      <c r="A4" s="85">
        <v>4</v>
      </c>
      <c r="B4" s="63" t="s">
        <v>561</v>
      </c>
      <c r="C4" s="63" t="s">
        <v>977</v>
      </c>
      <c r="D4" s="437" t="s">
        <v>565</v>
      </c>
      <c r="E4" s="438"/>
      <c r="F4" s="8"/>
      <c r="H4" s="8"/>
      <c r="I4" s="8"/>
    </row>
    <row r="5" spans="1:9" ht="13" thickBot="1">
      <c r="A5" s="86">
        <v>8</v>
      </c>
      <c r="B5" s="96" t="s">
        <v>566</v>
      </c>
      <c r="C5" s="90" t="s">
        <v>567</v>
      </c>
      <c r="D5" s="439" t="s">
        <v>568</v>
      </c>
      <c r="E5" s="440"/>
      <c r="F5" s="8"/>
      <c r="H5" s="8"/>
      <c r="I5" s="8"/>
    </row>
    <row r="6" spans="1:9" ht="13.5" customHeight="1" thickBot="1"/>
    <row r="7" spans="1:9" ht="12.75" customHeight="1">
      <c r="A7" s="418" t="s">
        <v>569</v>
      </c>
      <c r="B7" s="421"/>
      <c r="C7" s="421"/>
      <c r="D7" s="421"/>
      <c r="E7" s="422"/>
    </row>
    <row r="8" spans="1:9" ht="3.65" customHeight="1">
      <c r="A8" s="423"/>
      <c r="B8" s="424"/>
      <c r="C8" s="424"/>
      <c r="D8" s="424"/>
      <c r="E8" s="425"/>
      <c r="H8" s="8"/>
    </row>
    <row r="9" spans="1:9" ht="12.75" customHeight="1">
      <c r="A9" s="23" t="s">
        <v>2</v>
      </c>
      <c r="B9" s="30" t="s">
        <v>559</v>
      </c>
      <c r="C9" s="30" t="s">
        <v>144</v>
      </c>
      <c r="D9" s="434" t="s">
        <v>560</v>
      </c>
      <c r="E9" s="436"/>
      <c r="F9" s="8"/>
      <c r="H9" s="8"/>
      <c r="I9" s="8"/>
    </row>
    <row r="10" spans="1:9" ht="12.75" customHeight="1">
      <c r="A10" s="85">
        <v>0</v>
      </c>
      <c r="B10" s="63" t="s">
        <v>561</v>
      </c>
      <c r="C10" s="89" t="s">
        <v>562</v>
      </c>
      <c r="D10" s="437" t="s">
        <v>563</v>
      </c>
      <c r="E10" s="438"/>
      <c r="F10" s="8"/>
      <c r="H10" s="8"/>
      <c r="I10" s="8"/>
    </row>
    <row r="11" spans="1:9" ht="12.75" customHeight="1" thickBot="1">
      <c r="A11" s="86">
        <v>4</v>
      </c>
      <c r="B11" s="96" t="s">
        <v>561</v>
      </c>
      <c r="C11" s="90" t="s">
        <v>564</v>
      </c>
      <c r="D11" s="441" t="s">
        <v>565</v>
      </c>
      <c r="E11" s="442"/>
      <c r="F11" s="8"/>
      <c r="H11" s="8"/>
      <c r="I11" s="8"/>
    </row>
    <row r="12" spans="1:9" ht="13.5" customHeight="1" thickBot="1">
      <c r="A12" s="97"/>
      <c r="B12" s="97"/>
      <c r="C12" s="97"/>
      <c r="D12" s="97"/>
      <c r="E12" s="97"/>
      <c r="F12" s="8"/>
      <c r="G12" s="8"/>
      <c r="H12" s="7"/>
      <c r="I12" s="8"/>
    </row>
    <row r="13" spans="1:9" ht="12.75" customHeight="1">
      <c r="A13" s="426" t="s">
        <v>570</v>
      </c>
      <c r="B13" s="427"/>
      <c r="C13" s="427"/>
      <c r="D13" s="427"/>
      <c r="E13" s="428"/>
      <c r="F13" s="7"/>
      <c r="G13" s="8"/>
      <c r="H13" s="7"/>
      <c r="I13" s="7"/>
    </row>
    <row r="14" spans="1:9" ht="0.65" customHeight="1">
      <c r="A14" s="429"/>
      <c r="B14" s="430"/>
      <c r="C14" s="430"/>
      <c r="D14" s="430"/>
      <c r="E14" s="431"/>
      <c r="F14" s="7"/>
      <c r="G14" s="8"/>
      <c r="H14" s="7"/>
      <c r="I14" s="7"/>
    </row>
    <row r="15" spans="1:9" ht="12.75" customHeight="1">
      <c r="A15" s="23" t="s">
        <v>2</v>
      </c>
      <c r="B15" s="30" t="s">
        <v>559</v>
      </c>
      <c r="C15" s="434" t="s">
        <v>144</v>
      </c>
      <c r="D15" s="435"/>
      <c r="E15" s="98"/>
      <c r="F15" s="7"/>
      <c r="G15" s="8"/>
      <c r="H15" s="7"/>
      <c r="I15" s="7"/>
    </row>
    <row r="16" spans="1:9" ht="12.75" customHeight="1">
      <c r="A16" s="99">
        <v>0</v>
      </c>
      <c r="B16" s="100" t="s">
        <v>571</v>
      </c>
      <c r="C16" s="443" t="s">
        <v>572</v>
      </c>
      <c r="D16" s="444"/>
      <c r="E16" s="98" t="s">
        <v>573</v>
      </c>
      <c r="F16" s="7"/>
      <c r="G16" s="8"/>
      <c r="H16" s="7"/>
      <c r="I16" s="7"/>
    </row>
    <row r="17" spans="1:9" ht="12.75" customHeight="1">
      <c r="A17" s="99">
        <v>1</v>
      </c>
      <c r="B17" s="100" t="s">
        <v>571</v>
      </c>
      <c r="C17" s="443" t="s">
        <v>574</v>
      </c>
      <c r="D17" s="444"/>
      <c r="E17" s="98" t="s">
        <v>573</v>
      </c>
      <c r="F17" s="7"/>
      <c r="G17" s="8"/>
      <c r="H17" s="7"/>
      <c r="I17" s="7"/>
    </row>
    <row r="18" spans="1:9" ht="12.75" customHeight="1">
      <c r="A18" s="99">
        <v>2</v>
      </c>
      <c r="B18" s="100" t="s">
        <v>571</v>
      </c>
      <c r="C18" s="443" t="s">
        <v>575</v>
      </c>
      <c r="D18" s="444"/>
      <c r="E18" s="98" t="s">
        <v>573</v>
      </c>
      <c r="F18" s="7"/>
      <c r="G18" s="7"/>
      <c r="H18" s="7"/>
      <c r="I18" s="7"/>
    </row>
    <row r="19" spans="1:9" ht="12.75" customHeight="1">
      <c r="A19" s="99">
        <v>3</v>
      </c>
      <c r="B19" s="100" t="s">
        <v>571</v>
      </c>
      <c r="C19" s="443" t="s">
        <v>576</v>
      </c>
      <c r="D19" s="444"/>
      <c r="E19" s="98" t="s">
        <v>577</v>
      </c>
      <c r="F19" s="7"/>
      <c r="G19" s="7"/>
      <c r="H19" s="7"/>
      <c r="I19" s="7"/>
    </row>
    <row r="20" spans="1:9" ht="12.75" customHeight="1" thickBot="1">
      <c r="A20" s="101">
        <v>4</v>
      </c>
      <c r="B20" s="102" t="s">
        <v>571</v>
      </c>
      <c r="C20" s="432" t="s">
        <v>1009</v>
      </c>
      <c r="D20" s="433"/>
      <c r="E20" s="103" t="s">
        <v>578</v>
      </c>
      <c r="F20" s="7"/>
      <c r="G20" s="7"/>
      <c r="H20" s="7"/>
      <c r="I20" s="7"/>
    </row>
    <row r="21" spans="1:9" ht="13.5" customHeight="1" thickBot="1">
      <c r="A21" s="97"/>
      <c r="B21" s="97"/>
      <c r="C21" s="97"/>
      <c r="D21" s="97"/>
      <c r="E21" s="97"/>
      <c r="F21" s="7"/>
      <c r="G21" s="7"/>
      <c r="H21" s="7"/>
      <c r="I21" s="7"/>
    </row>
    <row r="22" spans="1:9">
      <c r="A22" s="426" t="s">
        <v>579</v>
      </c>
      <c r="B22" s="427"/>
      <c r="C22" s="427"/>
      <c r="D22" s="427"/>
      <c r="E22" s="428"/>
      <c r="F22" s="7"/>
      <c r="G22" s="7"/>
      <c r="H22" s="7"/>
      <c r="I22" s="7"/>
    </row>
    <row r="23" spans="1:9" ht="2" customHeight="1">
      <c r="A23" s="429"/>
      <c r="B23" s="430"/>
      <c r="C23" s="430"/>
      <c r="D23" s="430"/>
      <c r="E23" s="431"/>
      <c r="F23" s="7"/>
      <c r="G23" s="7"/>
      <c r="H23" s="7"/>
      <c r="I23" s="7"/>
    </row>
    <row r="24" spans="1:9" ht="13">
      <c r="A24" s="23" t="s">
        <v>2</v>
      </c>
      <c r="B24" s="30" t="s">
        <v>559</v>
      </c>
      <c r="C24" s="434" t="s">
        <v>144</v>
      </c>
      <c r="D24" s="451"/>
      <c r="E24" s="436"/>
      <c r="F24" s="7"/>
      <c r="G24" s="7"/>
      <c r="H24" s="7"/>
    </row>
    <row r="25" spans="1:9" ht="13">
      <c r="A25" s="99">
        <v>0</v>
      </c>
      <c r="B25" s="100" t="s">
        <v>561</v>
      </c>
      <c r="C25" s="445" t="s">
        <v>1002</v>
      </c>
      <c r="D25" s="446"/>
      <c r="E25" s="447"/>
      <c r="F25" s="7"/>
      <c r="G25" s="7"/>
      <c r="H25" s="7"/>
    </row>
    <row r="26" spans="1:9" ht="13">
      <c r="A26" s="99">
        <v>4</v>
      </c>
      <c r="B26" s="100" t="s">
        <v>561</v>
      </c>
      <c r="C26" s="445" t="s">
        <v>1003</v>
      </c>
      <c r="D26" s="446"/>
      <c r="E26" s="447"/>
      <c r="F26" s="7"/>
      <c r="G26" s="7"/>
      <c r="H26" s="7"/>
    </row>
    <row r="27" spans="1:9" ht="13">
      <c r="A27" s="99">
        <v>8</v>
      </c>
      <c r="B27" s="100" t="s">
        <v>561</v>
      </c>
      <c r="C27" s="445" t="s">
        <v>1004</v>
      </c>
      <c r="D27" s="446"/>
      <c r="E27" s="447"/>
      <c r="F27" s="7"/>
      <c r="G27" s="7"/>
      <c r="H27" s="7"/>
    </row>
    <row r="28" spans="1:9" ht="13">
      <c r="A28" s="99">
        <v>12</v>
      </c>
      <c r="B28" s="100" t="s">
        <v>561</v>
      </c>
      <c r="C28" s="445" t="s">
        <v>1005</v>
      </c>
      <c r="D28" s="446"/>
      <c r="E28" s="447"/>
      <c r="F28" s="7"/>
      <c r="G28" s="7"/>
      <c r="H28" s="7"/>
    </row>
    <row r="29" spans="1:9">
      <c r="A29" s="99">
        <v>16</v>
      </c>
      <c r="B29" s="100" t="s">
        <v>561</v>
      </c>
      <c r="C29" s="445" t="s">
        <v>1006</v>
      </c>
      <c r="D29" s="446"/>
      <c r="E29" s="447"/>
      <c r="F29" s="7"/>
      <c r="G29" s="7"/>
      <c r="H29" s="7"/>
    </row>
    <row r="30" spans="1:9">
      <c r="A30" s="99">
        <v>20</v>
      </c>
      <c r="B30" s="100" t="s">
        <v>561</v>
      </c>
      <c r="C30" s="445" t="s">
        <v>580</v>
      </c>
      <c r="D30" s="446"/>
      <c r="E30" s="447"/>
      <c r="F30" s="7"/>
      <c r="G30" s="7"/>
      <c r="H30" s="7"/>
    </row>
    <row r="31" spans="1:9" ht="13">
      <c r="A31" s="99">
        <v>24</v>
      </c>
      <c r="B31" s="100" t="s">
        <v>561</v>
      </c>
      <c r="C31" s="445" t="s">
        <v>1007</v>
      </c>
      <c r="D31" s="446"/>
      <c r="E31" s="447"/>
      <c r="F31" s="7"/>
      <c r="G31" s="7"/>
      <c r="H31" s="7"/>
    </row>
    <row r="32" spans="1:9">
      <c r="A32" s="99">
        <v>28</v>
      </c>
      <c r="B32" s="100" t="s">
        <v>561</v>
      </c>
      <c r="C32" s="445" t="s">
        <v>581</v>
      </c>
      <c r="D32" s="446"/>
      <c r="E32" s="447"/>
      <c r="F32" s="7"/>
      <c r="G32" s="7"/>
      <c r="H32" s="7"/>
    </row>
    <row r="33" spans="1:9" ht="13" thickBot="1">
      <c r="A33" s="101">
        <v>32</v>
      </c>
      <c r="B33" s="102" t="s">
        <v>561</v>
      </c>
      <c r="C33" s="448" t="s">
        <v>582</v>
      </c>
      <c r="D33" s="449"/>
      <c r="E33" s="450"/>
      <c r="F33" s="7"/>
      <c r="G33" s="7"/>
      <c r="H33" s="7"/>
      <c r="I33" s="7"/>
    </row>
    <row r="34" spans="1:9">
      <c r="A34" s="97"/>
      <c r="B34" s="97"/>
      <c r="C34" s="97"/>
      <c r="D34" s="97"/>
      <c r="E34" s="97"/>
      <c r="F34" s="7"/>
      <c r="G34" s="7"/>
      <c r="H34" s="7"/>
      <c r="I34" s="7"/>
    </row>
    <row r="35" spans="1:9">
      <c r="A35" s="97"/>
      <c r="B35" s="97"/>
      <c r="C35" s="97"/>
      <c r="D35" s="97"/>
      <c r="E35" s="97"/>
      <c r="F35" s="7"/>
      <c r="G35" s="7"/>
      <c r="H35" s="7"/>
      <c r="I35" s="7"/>
    </row>
    <row r="36" spans="1:9">
      <c r="A36" s="97"/>
      <c r="B36" s="97"/>
      <c r="C36" s="97"/>
      <c r="D36" s="97"/>
      <c r="E36" s="97"/>
      <c r="F36" s="7"/>
      <c r="G36" s="7"/>
      <c r="H36" s="7"/>
      <c r="I36" s="7"/>
    </row>
    <row r="37" spans="1:9">
      <c r="A37" s="97"/>
      <c r="B37" s="97"/>
      <c r="C37" s="97"/>
      <c r="D37" s="97"/>
      <c r="E37" s="97"/>
      <c r="F37" s="7"/>
      <c r="G37" s="7"/>
      <c r="H37" s="7"/>
      <c r="I37" s="7"/>
    </row>
    <row r="38" spans="1:9">
      <c r="A38" s="97"/>
      <c r="B38" s="97"/>
      <c r="C38" s="97"/>
      <c r="D38" s="97"/>
      <c r="E38" s="97"/>
      <c r="F38" s="7"/>
      <c r="G38" s="7"/>
      <c r="H38" s="7"/>
      <c r="I38" s="7"/>
    </row>
    <row r="39" spans="1:9">
      <c r="A39" s="97"/>
      <c r="B39" s="97"/>
      <c r="C39" s="97"/>
      <c r="D39" s="97"/>
      <c r="E39" s="97"/>
      <c r="F39" s="7"/>
      <c r="G39" s="7"/>
      <c r="H39" s="7"/>
      <c r="I39" s="7"/>
    </row>
    <row r="40" spans="1:9">
      <c r="A40" s="97"/>
      <c r="B40" s="97"/>
      <c r="C40" s="97"/>
      <c r="D40" s="97"/>
      <c r="E40" s="97"/>
      <c r="F40" s="7"/>
      <c r="G40" s="7"/>
      <c r="I40" s="7"/>
    </row>
    <row r="41" spans="1:9">
      <c r="A41" s="97"/>
      <c r="B41" s="97"/>
      <c r="C41" s="97"/>
      <c r="D41" s="97"/>
      <c r="E41" s="97"/>
      <c r="G41" s="7"/>
    </row>
    <row r="42" spans="1:9">
      <c r="G42" s="7"/>
    </row>
    <row r="43" spans="1:9">
      <c r="G43" s="7"/>
    </row>
    <row r="44" spans="1:9">
      <c r="G44" s="7"/>
    </row>
    <row r="45" spans="1:9">
      <c r="G45" s="7"/>
    </row>
  </sheetData>
  <mergeCells count="27">
    <mergeCell ref="A22:E23"/>
    <mergeCell ref="C25:E25"/>
    <mergeCell ref="C26:E26"/>
    <mergeCell ref="C27:E27"/>
    <mergeCell ref="C28:E28"/>
    <mergeCell ref="C24:E24"/>
    <mergeCell ref="C30:E30"/>
    <mergeCell ref="C31:E31"/>
    <mergeCell ref="C32:E32"/>
    <mergeCell ref="C33:E33"/>
    <mergeCell ref="C29:E29"/>
    <mergeCell ref="A1:E1"/>
    <mergeCell ref="A7:E8"/>
    <mergeCell ref="A13:E14"/>
    <mergeCell ref="C20:D20"/>
    <mergeCell ref="C15:D15"/>
    <mergeCell ref="D2:E2"/>
    <mergeCell ref="D3:E3"/>
    <mergeCell ref="D4:E4"/>
    <mergeCell ref="D5:E5"/>
    <mergeCell ref="D9:E9"/>
    <mergeCell ref="D10:E10"/>
    <mergeCell ref="D11:E11"/>
    <mergeCell ref="C16:D16"/>
    <mergeCell ref="C17:D17"/>
    <mergeCell ref="C18:D18"/>
    <mergeCell ref="C19:D19"/>
  </mergeCells>
  <phoneticPr fontId="7" type="noConversion"/>
  <pageMargins left="0.32" right="0.2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92D050"/>
  </sheetPr>
  <dimension ref="A1:S40"/>
  <sheetViews>
    <sheetView showGridLines="0" zoomScale="85" zoomScaleNormal="85" workbookViewId="0">
      <selection activeCell="E3" sqref="E3:E6"/>
    </sheetView>
  </sheetViews>
  <sheetFormatPr defaultRowHeight="13"/>
  <cols>
    <col min="1" max="1" width="7" style="77" customWidth="1"/>
    <col min="2" max="2" width="96.453125" style="77" customWidth="1"/>
    <col min="3" max="3" width="5.453125" customWidth="1"/>
    <col min="4" max="4" width="6.08984375" style="106" customWidth="1"/>
    <col min="5" max="5" width="15" style="4" customWidth="1"/>
    <col min="6" max="6" width="46.36328125" style="4" customWidth="1"/>
    <col min="7" max="7" width="28.6328125" style="4" customWidth="1"/>
    <col min="8" max="8" width="5" customWidth="1"/>
    <col min="9" max="9" width="7.54296875" style="26" customWidth="1"/>
    <col min="10" max="10" width="20.08984375" style="26" customWidth="1"/>
    <col min="11" max="11" width="12.90625" style="26" customWidth="1"/>
    <col min="12" max="14" width="8.90625" style="26"/>
    <col min="15" max="15" width="5.08984375" customWidth="1"/>
    <col min="16" max="16" width="10" customWidth="1"/>
    <col min="17" max="17" width="19.54296875" customWidth="1"/>
    <col min="18" max="18" width="9.36328125" customWidth="1"/>
    <col min="19" max="19" width="6.453125" customWidth="1"/>
  </cols>
  <sheetData>
    <row r="1" spans="1:19" s="3" customFormat="1" ht="13.25" customHeight="1">
      <c r="A1" s="405" t="s">
        <v>1021</v>
      </c>
      <c r="B1" s="407"/>
      <c r="C1" s="4"/>
      <c r="D1" s="474" t="s">
        <v>514</v>
      </c>
      <c r="E1" s="475"/>
      <c r="F1" s="475"/>
      <c r="G1" s="476"/>
      <c r="H1" s="9"/>
      <c r="I1" s="452" t="s">
        <v>515</v>
      </c>
      <c r="J1" s="455"/>
      <c r="K1" s="455"/>
      <c r="L1" s="455"/>
      <c r="M1" s="455"/>
      <c r="N1" s="456"/>
      <c r="O1" s="9"/>
      <c r="P1" s="452" t="s">
        <v>516</v>
      </c>
      <c r="Q1" s="453"/>
      <c r="R1" s="453"/>
      <c r="S1" s="454"/>
    </row>
    <row r="2" spans="1:19" s="3" customFormat="1">
      <c r="A2" s="72" t="s">
        <v>2</v>
      </c>
      <c r="B2" s="65" t="s">
        <v>144</v>
      </c>
      <c r="C2" s="9"/>
      <c r="D2" s="139" t="s">
        <v>2</v>
      </c>
      <c r="E2" s="138" t="s">
        <v>144</v>
      </c>
      <c r="F2" s="104"/>
      <c r="G2" s="144" t="s">
        <v>517</v>
      </c>
      <c r="H2" s="9"/>
      <c r="I2" s="23" t="s">
        <v>2</v>
      </c>
      <c r="J2" s="30" t="s">
        <v>144</v>
      </c>
      <c r="K2" s="30" t="s">
        <v>518</v>
      </c>
      <c r="L2" s="457" t="s">
        <v>519</v>
      </c>
      <c r="M2" s="444"/>
      <c r="N2" s="458"/>
      <c r="O2" s="9"/>
      <c r="P2" s="23" t="s">
        <v>2</v>
      </c>
      <c r="Q2" s="30" t="s">
        <v>144</v>
      </c>
      <c r="R2" s="30" t="s">
        <v>518</v>
      </c>
      <c r="S2" s="82" t="s">
        <v>519</v>
      </c>
    </row>
    <row r="3" spans="1:19" s="3" customFormat="1" ht="27.9" customHeight="1">
      <c r="A3" s="150">
        <v>0</v>
      </c>
      <c r="B3" s="73" t="s">
        <v>1024</v>
      </c>
      <c r="C3" s="7"/>
      <c r="D3" s="472">
        <v>0</v>
      </c>
      <c r="E3" s="470" t="s">
        <v>520</v>
      </c>
      <c r="F3" s="461" t="s">
        <v>521</v>
      </c>
      <c r="G3" s="310" t="s">
        <v>995</v>
      </c>
      <c r="H3" s="15"/>
      <c r="I3" s="83">
        <v>0</v>
      </c>
      <c r="J3" s="84" t="s">
        <v>522</v>
      </c>
      <c r="K3" s="88">
        <v>10</v>
      </c>
      <c r="L3" s="459" t="s">
        <v>523</v>
      </c>
      <c r="M3" s="459"/>
      <c r="N3" s="460"/>
      <c r="O3" s="9"/>
      <c r="P3" s="83">
        <v>0</v>
      </c>
      <c r="Q3" s="84" t="s">
        <v>946</v>
      </c>
      <c r="R3" s="307" t="s">
        <v>956</v>
      </c>
      <c r="S3" s="300"/>
    </row>
    <row r="4" spans="1:19" s="3" customFormat="1" ht="27.9" customHeight="1">
      <c r="A4" s="150">
        <v>4</v>
      </c>
      <c r="B4" s="73" t="s">
        <v>985</v>
      </c>
      <c r="C4" s="7"/>
      <c r="D4" s="472"/>
      <c r="E4" s="470"/>
      <c r="F4" s="461"/>
      <c r="G4" s="140"/>
      <c r="H4" s="15"/>
      <c r="I4" s="85">
        <v>4</v>
      </c>
      <c r="J4" s="31" t="s">
        <v>524</v>
      </c>
      <c r="K4" s="89">
        <v>10</v>
      </c>
      <c r="L4" s="464" t="s">
        <v>525</v>
      </c>
      <c r="M4" s="464"/>
      <c r="N4" s="465"/>
      <c r="O4" s="9"/>
      <c r="P4" s="85">
        <v>4</v>
      </c>
      <c r="Q4" s="30" t="s">
        <v>526</v>
      </c>
      <c r="R4" s="303" t="s">
        <v>527</v>
      </c>
      <c r="S4" s="301"/>
    </row>
    <row r="5" spans="1:19" s="3" customFormat="1" ht="27.9" customHeight="1">
      <c r="A5" s="150">
        <v>8</v>
      </c>
      <c r="B5" s="73" t="s">
        <v>986</v>
      </c>
      <c r="C5" s="7"/>
      <c r="D5" s="472"/>
      <c r="E5" s="470"/>
      <c r="F5" s="321"/>
      <c r="G5" s="104"/>
      <c r="H5" s="14"/>
      <c r="I5" s="85">
        <v>8</v>
      </c>
      <c r="J5" s="31" t="s">
        <v>528</v>
      </c>
      <c r="K5" s="89">
        <v>0.05</v>
      </c>
      <c r="L5" s="464" t="s">
        <v>529</v>
      </c>
      <c r="M5" s="464"/>
      <c r="N5" s="465"/>
      <c r="O5" s="9"/>
      <c r="P5" s="85">
        <v>8</v>
      </c>
      <c r="Q5" s="30" t="s">
        <v>530</v>
      </c>
      <c r="R5" s="303" t="s">
        <v>958</v>
      </c>
      <c r="S5" s="301"/>
    </row>
    <row r="6" spans="1:19" s="3" customFormat="1" ht="27.9" customHeight="1" thickBot="1">
      <c r="A6" s="150">
        <v>12</v>
      </c>
      <c r="B6" s="200" t="s">
        <v>987</v>
      </c>
      <c r="C6" s="7"/>
      <c r="D6" s="472"/>
      <c r="E6" s="471"/>
      <c r="F6" s="321"/>
      <c r="G6" s="104"/>
      <c r="H6" s="14"/>
      <c r="I6" s="86">
        <v>12</v>
      </c>
      <c r="J6" s="87" t="s">
        <v>531</v>
      </c>
      <c r="K6" s="90">
        <v>0.05</v>
      </c>
      <c r="L6" s="462" t="s">
        <v>532</v>
      </c>
      <c r="M6" s="462"/>
      <c r="N6" s="463"/>
      <c r="O6" s="9"/>
      <c r="P6" s="85">
        <v>12</v>
      </c>
      <c r="Q6" s="31" t="s">
        <v>533</v>
      </c>
      <c r="R6" s="303" t="s">
        <v>948</v>
      </c>
      <c r="S6" s="301"/>
    </row>
    <row r="7" spans="1:19" s="3" customFormat="1" ht="24" customHeight="1">
      <c r="A7" s="150">
        <v>16</v>
      </c>
      <c r="B7" s="73" t="s">
        <v>988</v>
      </c>
      <c r="C7" s="7"/>
      <c r="D7" s="468">
        <v>1</v>
      </c>
      <c r="E7" s="470" t="s">
        <v>534</v>
      </c>
      <c r="F7" s="461" t="s">
        <v>535</v>
      </c>
      <c r="G7" s="310" t="s">
        <v>996</v>
      </c>
      <c r="H7" s="14"/>
      <c r="I7" s="482" t="s">
        <v>536</v>
      </c>
      <c r="J7" s="482"/>
      <c r="K7" s="482"/>
      <c r="L7" s="482"/>
      <c r="M7" s="482"/>
      <c r="N7" s="482"/>
      <c r="O7" s="9"/>
      <c r="P7" s="85">
        <v>16</v>
      </c>
      <c r="Q7" s="31" t="s">
        <v>1022</v>
      </c>
      <c r="R7" s="303" t="s">
        <v>949</v>
      </c>
      <c r="S7" s="301"/>
    </row>
    <row r="8" spans="1:19" s="3" customFormat="1" ht="23.25" customHeight="1">
      <c r="A8" s="150">
        <v>20</v>
      </c>
      <c r="B8" s="73" t="s">
        <v>989</v>
      </c>
      <c r="C8" s="7"/>
      <c r="D8" s="469"/>
      <c r="E8" s="471"/>
      <c r="F8" s="461"/>
      <c r="G8" s="140"/>
      <c r="H8" s="14"/>
      <c r="I8" s="26"/>
      <c r="J8" s="26"/>
      <c r="K8" s="26"/>
      <c r="L8" s="26"/>
      <c r="M8" s="26"/>
      <c r="N8" s="26"/>
      <c r="O8" s="9"/>
      <c r="P8" s="85">
        <v>20</v>
      </c>
      <c r="Q8" s="31" t="s">
        <v>537</v>
      </c>
      <c r="R8" s="303" t="s">
        <v>948</v>
      </c>
      <c r="S8" s="301"/>
    </row>
    <row r="9" spans="1:19" s="3" customFormat="1" ht="30" customHeight="1" thickBot="1">
      <c r="A9" s="150">
        <v>21</v>
      </c>
      <c r="B9" s="73" t="s">
        <v>489</v>
      </c>
      <c r="C9" s="7"/>
      <c r="D9" s="469"/>
      <c r="E9" s="471"/>
      <c r="F9" s="461"/>
      <c r="G9" s="140"/>
      <c r="H9" s="14"/>
      <c r="I9" s="26"/>
      <c r="J9" s="26"/>
      <c r="K9" s="26"/>
      <c r="L9" s="26"/>
      <c r="M9" s="26"/>
      <c r="N9" s="26"/>
      <c r="O9" s="9"/>
      <c r="P9" s="85">
        <v>24</v>
      </c>
      <c r="Q9" s="302" t="s">
        <v>538</v>
      </c>
      <c r="R9" s="304" t="s">
        <v>960</v>
      </c>
      <c r="S9" s="301" t="s">
        <v>950</v>
      </c>
    </row>
    <row r="10" spans="1:19" s="3" customFormat="1" ht="24" customHeight="1">
      <c r="A10" s="150">
        <v>22</v>
      </c>
      <c r="B10" s="73" t="s">
        <v>991</v>
      </c>
      <c r="C10" s="7"/>
      <c r="D10" s="469"/>
      <c r="E10" s="471"/>
      <c r="F10" s="321"/>
      <c r="G10" s="104"/>
      <c r="H10" s="14"/>
      <c r="I10" s="484" t="s">
        <v>539</v>
      </c>
      <c r="J10" s="485"/>
      <c r="K10" s="486"/>
      <c r="L10" s="26"/>
      <c r="M10" s="26"/>
      <c r="N10" s="26"/>
      <c r="O10" s="9"/>
      <c r="P10" s="85">
        <v>28</v>
      </c>
      <c r="Q10" s="302" t="s">
        <v>954</v>
      </c>
      <c r="R10" s="305" t="s">
        <v>959</v>
      </c>
      <c r="S10" s="301" t="s">
        <v>952</v>
      </c>
    </row>
    <row r="11" spans="1:19" s="3" customFormat="1" ht="24.65" customHeight="1" thickBot="1">
      <c r="A11" s="150">
        <v>24</v>
      </c>
      <c r="B11" s="73" t="s">
        <v>990</v>
      </c>
      <c r="C11" s="7"/>
      <c r="D11" s="141">
        <v>2</v>
      </c>
      <c r="E11" s="104" t="s">
        <v>540</v>
      </c>
      <c r="F11" s="104" t="s">
        <v>540</v>
      </c>
      <c r="G11" s="104"/>
      <c r="H11" s="14"/>
      <c r="I11" s="78">
        <v>0</v>
      </c>
      <c r="J11" s="57" t="s">
        <v>541</v>
      </c>
      <c r="K11" s="75"/>
      <c r="L11" s="26"/>
      <c r="M11" s="26"/>
      <c r="N11" s="26"/>
      <c r="O11" s="9"/>
      <c r="P11" s="86">
        <v>32</v>
      </c>
      <c r="Q11" s="87" t="s">
        <v>542</v>
      </c>
      <c r="R11" s="303" t="s">
        <v>957</v>
      </c>
      <c r="S11" s="301" t="s">
        <v>951</v>
      </c>
    </row>
    <row r="12" spans="1:19" s="3" customFormat="1" ht="28.25" customHeight="1">
      <c r="A12" s="150">
        <v>26</v>
      </c>
      <c r="B12" s="73" t="s">
        <v>992</v>
      </c>
      <c r="C12" s="7"/>
      <c r="D12" s="473">
        <v>3</v>
      </c>
      <c r="E12" s="471" t="s">
        <v>540</v>
      </c>
      <c r="F12" s="321" t="s">
        <v>540</v>
      </c>
      <c r="G12" s="104"/>
      <c r="H12" s="14"/>
      <c r="I12" s="78">
        <v>4</v>
      </c>
      <c r="J12" s="57" t="s">
        <v>543</v>
      </c>
      <c r="K12" s="75">
        <v>17500</v>
      </c>
      <c r="L12" s="26"/>
      <c r="M12" s="26"/>
      <c r="N12" s="26"/>
      <c r="O12" s="9"/>
      <c r="P12" s="8" t="s">
        <v>536</v>
      </c>
      <c r="Q12" s="9"/>
      <c r="R12" s="9"/>
      <c r="S12" s="9"/>
    </row>
    <row r="13" spans="1:19" s="3" customFormat="1" ht="27.65" customHeight="1" thickBot="1">
      <c r="A13" s="150">
        <v>27</v>
      </c>
      <c r="B13" s="73" t="s">
        <v>993</v>
      </c>
      <c r="C13" s="7"/>
      <c r="D13" s="473"/>
      <c r="E13" s="471"/>
      <c r="F13" s="321"/>
      <c r="G13" s="104"/>
      <c r="H13" s="14"/>
      <c r="I13" s="79">
        <v>8</v>
      </c>
      <c r="J13" s="80" t="s">
        <v>544</v>
      </c>
      <c r="K13" s="81">
        <v>-17500</v>
      </c>
      <c r="L13" s="26"/>
      <c r="M13" s="26"/>
      <c r="N13" s="26"/>
      <c r="O13" s="9"/>
      <c r="P13" s="9"/>
      <c r="Q13" s="9"/>
      <c r="R13" s="9"/>
      <c r="S13" s="9"/>
    </row>
    <row r="14" spans="1:19" s="3" customFormat="1" ht="27.75" customHeight="1">
      <c r="A14" s="150">
        <v>28</v>
      </c>
      <c r="B14" s="74" t="s">
        <v>944</v>
      </c>
      <c r="C14" s="7"/>
      <c r="D14" s="473">
        <v>4</v>
      </c>
      <c r="E14" s="471" t="s">
        <v>545</v>
      </c>
      <c r="F14" s="321" t="s">
        <v>546</v>
      </c>
      <c r="G14" s="487" t="s">
        <v>997</v>
      </c>
      <c r="H14" s="14"/>
      <c r="I14" s="26"/>
      <c r="J14" s="26"/>
      <c r="K14" s="26"/>
      <c r="L14" s="26"/>
      <c r="M14" s="26"/>
      <c r="N14" s="26"/>
      <c r="O14" s="9"/>
      <c r="P14" s="9"/>
      <c r="Q14" s="9"/>
      <c r="R14" s="9"/>
      <c r="S14" s="9"/>
    </row>
    <row r="15" spans="1:19" s="3" customFormat="1" ht="21" customHeight="1">
      <c r="A15" s="150">
        <v>29</v>
      </c>
      <c r="B15" s="74" t="s">
        <v>547</v>
      </c>
      <c r="C15" s="7"/>
      <c r="D15" s="473"/>
      <c r="E15" s="471"/>
      <c r="F15" s="321"/>
      <c r="G15" s="488"/>
      <c r="H15" s="14"/>
      <c r="I15" s="26"/>
      <c r="J15" s="26"/>
      <c r="K15" s="26"/>
      <c r="L15" s="26"/>
      <c r="M15" s="26"/>
      <c r="N15" s="26"/>
      <c r="O15" s="9"/>
      <c r="P15" s="9"/>
      <c r="Q15" s="9"/>
      <c r="R15" s="9"/>
      <c r="S15" s="9"/>
    </row>
    <row r="16" spans="1:19" s="3" customFormat="1" ht="75.650000000000006" customHeight="1">
      <c r="A16" s="150">
        <v>30</v>
      </c>
      <c r="B16" s="74" t="s">
        <v>548</v>
      </c>
      <c r="C16" s="7"/>
      <c r="D16" s="473"/>
      <c r="E16" s="471"/>
      <c r="F16" s="321"/>
      <c r="G16" s="489"/>
      <c r="H16" s="14"/>
      <c r="I16" s="26"/>
      <c r="J16" s="26"/>
      <c r="K16" s="26"/>
      <c r="L16" s="26"/>
      <c r="M16" s="26"/>
      <c r="N16" s="26"/>
      <c r="O16" s="9"/>
      <c r="P16" s="9"/>
      <c r="Q16" s="9"/>
      <c r="R16" s="9"/>
      <c r="S16" s="9"/>
    </row>
    <row r="17" spans="1:15" s="3" customFormat="1" ht="111" customHeight="1">
      <c r="A17" s="150">
        <v>34</v>
      </c>
      <c r="B17" s="74" t="s">
        <v>549</v>
      </c>
      <c r="C17" s="7"/>
      <c r="D17" s="142">
        <v>5</v>
      </c>
      <c r="E17" s="31" t="s">
        <v>545</v>
      </c>
      <c r="F17" s="138" t="s">
        <v>550</v>
      </c>
      <c r="G17" s="138" t="s">
        <v>998</v>
      </c>
      <c r="H17" s="14"/>
      <c r="I17" s="26"/>
      <c r="J17" s="26"/>
      <c r="K17" s="26"/>
      <c r="L17" s="26"/>
      <c r="M17" s="26"/>
      <c r="N17" s="26"/>
      <c r="O17" s="9"/>
    </row>
    <row r="18" spans="1:15" s="3" customFormat="1" ht="104.4" customHeight="1">
      <c r="A18" s="150">
        <v>36</v>
      </c>
      <c r="B18" s="74" t="s">
        <v>551</v>
      </c>
      <c r="C18" s="7"/>
      <c r="D18" s="143">
        <v>6</v>
      </c>
      <c r="E18" s="104" t="s">
        <v>545</v>
      </c>
      <c r="F18" s="104" t="s">
        <v>552</v>
      </c>
      <c r="G18" s="104" t="s">
        <v>999</v>
      </c>
      <c r="H18" s="14"/>
      <c r="I18" s="26"/>
      <c r="J18" s="26"/>
      <c r="K18" s="26"/>
      <c r="L18" s="26"/>
      <c r="M18" s="26"/>
      <c r="N18" s="26"/>
      <c r="O18" s="9"/>
    </row>
    <row r="19" spans="1:15" s="3" customFormat="1" ht="66" customHeight="1">
      <c r="A19" s="466" t="s">
        <v>553</v>
      </c>
      <c r="B19" s="467"/>
      <c r="C19" s="7"/>
      <c r="D19" s="143">
        <v>7</v>
      </c>
      <c r="E19" s="104" t="s">
        <v>554</v>
      </c>
      <c r="F19" s="104" t="s">
        <v>943</v>
      </c>
      <c r="G19" s="104" t="s">
        <v>1000</v>
      </c>
      <c r="H19" s="14"/>
      <c r="I19" s="26"/>
      <c r="J19" s="26"/>
      <c r="K19" s="26"/>
      <c r="L19" s="26"/>
      <c r="M19" s="26"/>
      <c r="N19" s="26"/>
      <c r="O19" s="9"/>
    </row>
    <row r="20" spans="1:15" s="3" customFormat="1" ht="19.25" customHeight="1">
      <c r="A20" s="477" t="s">
        <v>555</v>
      </c>
      <c r="B20" s="478"/>
      <c r="C20" s="7"/>
      <c r="D20" s="483" t="s">
        <v>556</v>
      </c>
      <c r="E20" s="483"/>
      <c r="F20" s="483"/>
      <c r="G20" s="57"/>
      <c r="H20" s="14"/>
      <c r="I20" s="26"/>
      <c r="J20" s="26"/>
      <c r="K20" s="26"/>
      <c r="L20" s="26"/>
      <c r="M20" s="26"/>
      <c r="N20" s="26"/>
      <c r="O20" s="9"/>
    </row>
    <row r="21" spans="1:15" s="8" customFormat="1" ht="20" customHeight="1" thickBot="1">
      <c r="A21" s="479" t="s">
        <v>557</v>
      </c>
      <c r="B21" s="480"/>
      <c r="D21" s="481"/>
      <c r="E21" s="481"/>
      <c r="F21" s="481"/>
      <c r="G21" s="137"/>
      <c r="I21" s="26"/>
      <c r="J21" s="26"/>
      <c r="K21" s="26"/>
      <c r="L21" s="26"/>
      <c r="M21" s="26"/>
      <c r="N21" s="26"/>
      <c r="O21" s="13"/>
    </row>
    <row r="22" spans="1:15" s="8" customFormat="1" ht="12.75" customHeight="1">
      <c r="A22" s="76"/>
      <c r="B22" s="76"/>
      <c r="D22" s="105"/>
      <c r="E22" s="13"/>
      <c r="F22" s="13"/>
      <c r="G22" s="13"/>
      <c r="I22" s="26"/>
      <c r="J22" s="26"/>
      <c r="K22" s="26"/>
      <c r="L22" s="26"/>
      <c r="M22" s="26"/>
      <c r="N22" s="26"/>
    </row>
    <row r="23" spans="1:15" s="8" customFormat="1" ht="12.75" customHeight="1">
      <c r="A23" s="76"/>
      <c r="B23" s="76"/>
      <c r="D23" s="105"/>
      <c r="E23" s="13"/>
      <c r="F23" s="13"/>
      <c r="G23" s="13"/>
      <c r="I23" s="26"/>
      <c r="J23" s="26"/>
      <c r="K23" s="26"/>
      <c r="L23" s="26"/>
      <c r="M23" s="26"/>
      <c r="N23" s="26"/>
    </row>
    <row r="24" spans="1:15" s="8" customFormat="1" ht="12.75" customHeight="1">
      <c r="A24" s="76"/>
      <c r="B24" s="76"/>
      <c r="D24" s="105"/>
      <c r="E24" s="13"/>
      <c r="F24" s="13"/>
      <c r="G24" s="13"/>
      <c r="I24" s="26"/>
      <c r="J24" s="26"/>
      <c r="K24" s="26"/>
      <c r="L24" s="26"/>
      <c r="M24" s="26"/>
      <c r="N24" s="26"/>
    </row>
    <row r="25" spans="1:15" s="8" customFormat="1">
      <c r="A25" s="76"/>
      <c r="B25" s="76"/>
      <c r="D25" s="105"/>
      <c r="E25" s="13"/>
      <c r="F25" s="13"/>
      <c r="G25" s="13"/>
      <c r="I25" s="26"/>
      <c r="J25" s="26"/>
      <c r="K25" s="26"/>
      <c r="L25" s="26"/>
      <c r="M25" s="26"/>
      <c r="N25" s="26"/>
    </row>
    <row r="26" spans="1:15" s="8" customFormat="1" ht="15.9" customHeight="1">
      <c r="A26" s="76"/>
      <c r="B26" s="76"/>
      <c r="D26" s="105"/>
      <c r="E26" s="13"/>
      <c r="F26" s="13"/>
      <c r="G26" s="13"/>
      <c r="I26" s="26"/>
      <c r="J26" s="26"/>
      <c r="K26" s="26"/>
      <c r="L26" s="26"/>
      <c r="M26" s="26"/>
      <c r="N26" s="26"/>
    </row>
    <row r="27" spans="1:15" s="8" customFormat="1" ht="15.9" customHeight="1">
      <c r="A27" s="76"/>
      <c r="B27" s="76"/>
      <c r="D27" s="105"/>
      <c r="E27" s="13"/>
      <c r="F27" s="13"/>
      <c r="G27" s="13"/>
      <c r="I27" s="26"/>
      <c r="J27" s="26"/>
      <c r="K27" s="26"/>
      <c r="L27" s="26"/>
      <c r="M27" s="26"/>
      <c r="N27" s="26"/>
    </row>
    <row r="28" spans="1:15" s="8" customFormat="1" ht="15.9" customHeight="1">
      <c r="A28" s="76"/>
      <c r="B28" s="76"/>
      <c r="D28" s="105"/>
      <c r="E28" s="13"/>
      <c r="F28" s="13"/>
      <c r="G28" s="13"/>
      <c r="I28" s="26"/>
      <c r="J28" s="26"/>
      <c r="K28" s="26"/>
      <c r="L28" s="26"/>
      <c r="M28" s="26"/>
      <c r="N28" s="26"/>
    </row>
    <row r="29" spans="1:15" s="8" customFormat="1" ht="15.9" customHeight="1">
      <c r="A29" s="76"/>
      <c r="B29" s="76"/>
      <c r="D29" s="105"/>
      <c r="E29" s="13"/>
      <c r="F29" s="13"/>
      <c r="G29" s="13"/>
      <c r="I29" s="26"/>
      <c r="J29" s="26"/>
      <c r="K29" s="26"/>
      <c r="L29" s="26"/>
      <c r="M29" s="26"/>
      <c r="N29" s="26"/>
    </row>
    <row r="30" spans="1:15" s="8" customFormat="1" ht="15.9" customHeight="1">
      <c r="A30" s="76"/>
      <c r="B30" s="76"/>
      <c r="D30" s="105"/>
      <c r="E30" s="13"/>
      <c r="F30" s="13"/>
      <c r="G30" s="13"/>
      <c r="I30" s="26"/>
      <c r="J30" s="26"/>
      <c r="K30" s="26"/>
      <c r="L30" s="26"/>
      <c r="M30" s="26"/>
      <c r="N30" s="26"/>
    </row>
    <row r="31" spans="1:15" s="8" customFormat="1" ht="15.9" customHeight="1">
      <c r="A31" s="76"/>
      <c r="B31" s="76"/>
      <c r="D31" s="105"/>
      <c r="E31" s="13"/>
      <c r="F31" s="13"/>
      <c r="G31" s="13"/>
      <c r="I31" s="26"/>
      <c r="J31" s="26"/>
      <c r="K31" s="26"/>
      <c r="L31" s="26"/>
      <c r="M31" s="26"/>
      <c r="N31" s="26"/>
    </row>
    <row r="32" spans="1:15" s="8" customFormat="1" ht="15.9" customHeight="1">
      <c r="A32" s="76"/>
      <c r="B32" s="76"/>
      <c r="D32" s="105"/>
      <c r="E32" s="13"/>
      <c r="F32" s="13"/>
      <c r="G32" s="13"/>
      <c r="I32" s="26"/>
      <c r="J32" s="26"/>
      <c r="K32" s="26"/>
      <c r="L32" s="26"/>
      <c r="M32" s="26"/>
      <c r="N32" s="26"/>
    </row>
    <row r="33" spans="1:19" s="8" customFormat="1" ht="15.9" customHeight="1">
      <c r="A33" s="76"/>
      <c r="B33" s="76"/>
      <c r="D33" s="105"/>
      <c r="E33" s="13"/>
      <c r="F33" s="13"/>
      <c r="G33" s="13"/>
      <c r="I33" s="26"/>
      <c r="J33" s="26"/>
      <c r="K33" s="26"/>
      <c r="L33" s="26"/>
      <c r="M33" s="26"/>
      <c r="N33" s="26"/>
    </row>
    <row r="34" spans="1:19" s="8" customFormat="1" ht="15.9" customHeight="1">
      <c r="A34" s="76"/>
      <c r="B34" s="76"/>
      <c r="D34" s="105"/>
      <c r="E34" s="13"/>
      <c r="F34" s="13"/>
      <c r="G34" s="13"/>
      <c r="I34" s="26"/>
      <c r="J34" s="26"/>
      <c r="K34" s="26"/>
      <c r="L34" s="26"/>
      <c r="M34" s="26"/>
      <c r="N34" s="26"/>
    </row>
    <row r="35" spans="1:19" s="8" customFormat="1">
      <c r="A35" s="76"/>
      <c r="B35" s="76"/>
      <c r="D35" s="105"/>
      <c r="E35" s="13"/>
      <c r="F35" s="13"/>
      <c r="G35" s="13"/>
      <c r="I35" s="26"/>
      <c r="J35" s="26"/>
      <c r="K35" s="26"/>
      <c r="L35" s="26"/>
      <c r="M35" s="26"/>
      <c r="N35" s="26"/>
      <c r="P35"/>
      <c r="Q35"/>
      <c r="R35"/>
      <c r="S35"/>
    </row>
    <row r="36" spans="1:19" s="8" customFormat="1">
      <c r="A36" s="76"/>
      <c r="B36" s="76"/>
      <c r="D36" s="105"/>
      <c r="E36" s="13"/>
      <c r="F36" s="13"/>
      <c r="G36" s="13"/>
      <c r="I36" s="26"/>
      <c r="J36" s="26"/>
      <c r="K36" s="26"/>
      <c r="L36" s="26"/>
      <c r="M36" s="26"/>
      <c r="N36" s="26"/>
      <c r="P36"/>
      <c r="Q36"/>
      <c r="R36"/>
      <c r="S36"/>
    </row>
    <row r="37" spans="1:19">
      <c r="D37" s="105"/>
      <c r="E37" s="13"/>
      <c r="F37" s="13"/>
      <c r="G37" s="13"/>
    </row>
    <row r="38" spans="1:19">
      <c r="D38" s="105"/>
    </row>
    <row r="39" spans="1:19">
      <c r="D39" s="105"/>
    </row>
    <row r="40" spans="1:19">
      <c r="D40" s="105"/>
    </row>
  </sheetData>
  <mergeCells count="29">
    <mergeCell ref="A20:B20"/>
    <mergeCell ref="A21:B21"/>
    <mergeCell ref="D21:F21"/>
    <mergeCell ref="I7:N7"/>
    <mergeCell ref="D20:F20"/>
    <mergeCell ref="I10:K10"/>
    <mergeCell ref="E12:E13"/>
    <mergeCell ref="F12:F13"/>
    <mergeCell ref="E14:E16"/>
    <mergeCell ref="F14:F16"/>
    <mergeCell ref="G14:G16"/>
    <mergeCell ref="A1:B1"/>
    <mergeCell ref="A19:B19"/>
    <mergeCell ref="D7:D10"/>
    <mergeCell ref="E7:E10"/>
    <mergeCell ref="F7:F10"/>
    <mergeCell ref="D3:D6"/>
    <mergeCell ref="E3:E6"/>
    <mergeCell ref="D12:D13"/>
    <mergeCell ref="D14:D16"/>
    <mergeCell ref="D1:G1"/>
    <mergeCell ref="P1:S1"/>
    <mergeCell ref="I1:N1"/>
    <mergeCell ref="L2:N2"/>
    <mergeCell ref="L3:N3"/>
    <mergeCell ref="F3:F6"/>
    <mergeCell ref="L6:N6"/>
    <mergeCell ref="L4:N4"/>
    <mergeCell ref="L5:N5"/>
  </mergeCells>
  <phoneticPr fontId="7" type="noConversion"/>
  <pageMargins left="0.43" right="0.2" top="0.17" bottom="0.21" header="0.17" footer="0.21"/>
  <pageSetup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FCD51-9CDA-43AA-8171-A1A38C8A7328}">
  <dimension ref="A1:B3"/>
  <sheetViews>
    <sheetView zoomScale="85" zoomScaleNormal="85" workbookViewId="0">
      <selection activeCell="B3" sqref="B3"/>
    </sheetView>
  </sheetViews>
  <sheetFormatPr defaultRowHeight="12.5"/>
  <cols>
    <col min="1" max="1" width="9.36328125" customWidth="1"/>
    <col min="2" max="2" width="78.453125" customWidth="1"/>
  </cols>
  <sheetData>
    <row r="1" spans="1:2" ht="13">
      <c r="A1" s="490" t="s">
        <v>1023</v>
      </c>
      <c r="B1" s="491"/>
    </row>
    <row r="2" spans="1:2" ht="14">
      <c r="A2" s="203" t="s">
        <v>583</v>
      </c>
      <c r="B2" s="311" t="s">
        <v>1015</v>
      </c>
    </row>
    <row r="3" spans="1:2" ht="14">
      <c r="A3" s="204" t="s">
        <v>584</v>
      </c>
      <c r="B3" s="205" t="s">
        <v>1016</v>
      </c>
    </row>
  </sheetData>
  <mergeCells count="1">
    <mergeCell ref="A1:B1"/>
  </mergeCells>
  <phoneticPr fontId="2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showGridLines="0" workbookViewId="0">
      <selection activeCell="C22" sqref="C22"/>
    </sheetView>
  </sheetViews>
  <sheetFormatPr defaultRowHeight="12.5"/>
  <cols>
    <col min="1" max="1" width="19" style="26" customWidth="1"/>
    <col min="2" max="2" width="27.453125" style="26" customWidth="1"/>
    <col min="3" max="3" width="3.36328125" style="26" customWidth="1"/>
    <col min="4" max="4" width="8.90625" style="26"/>
    <col min="5" max="5" width="40.453125" style="26" customWidth="1"/>
    <col min="6" max="6" width="17.90625" customWidth="1"/>
  </cols>
  <sheetData>
    <row r="1" spans="1:5" ht="13">
      <c r="A1" s="358" t="s">
        <v>500</v>
      </c>
      <c r="B1" s="360"/>
      <c r="D1" s="358" t="s">
        <v>501</v>
      </c>
      <c r="E1" s="360"/>
    </row>
    <row r="2" spans="1:5" ht="13">
      <c r="A2" s="32" t="s">
        <v>2</v>
      </c>
      <c r="B2" s="33" t="s">
        <v>144</v>
      </c>
      <c r="D2" s="32" t="s">
        <v>2</v>
      </c>
      <c r="E2" s="33" t="s">
        <v>144</v>
      </c>
    </row>
    <row r="3" spans="1:5">
      <c r="A3" s="91" t="s">
        <v>502</v>
      </c>
      <c r="B3" s="27" t="s">
        <v>503</v>
      </c>
      <c r="D3" s="24">
        <v>0</v>
      </c>
      <c r="E3" s="27" t="s">
        <v>504</v>
      </c>
    </row>
    <row r="4" spans="1:5" ht="13" thickBot="1">
      <c r="A4" s="24">
        <v>2</v>
      </c>
      <c r="B4" s="27" t="s">
        <v>505</v>
      </c>
      <c r="D4" s="25">
        <v>1</v>
      </c>
      <c r="E4" s="47" t="s">
        <v>506</v>
      </c>
    </row>
    <row r="5" spans="1:5">
      <c r="A5" s="24">
        <v>4</v>
      </c>
      <c r="B5" s="27" t="s">
        <v>507</v>
      </c>
    </row>
    <row r="6" spans="1:5" ht="13" thickBot="1">
      <c r="A6" s="25">
        <v>6</v>
      </c>
      <c r="B6" s="47" t="s">
        <v>508</v>
      </c>
    </row>
    <row r="7" spans="1:5">
      <c r="A7" s="92" t="s">
        <v>509</v>
      </c>
      <c r="B7" s="93"/>
    </row>
    <row r="8" spans="1:5">
      <c r="A8" s="92" t="s">
        <v>510</v>
      </c>
      <c r="B8" s="93"/>
    </row>
    <row r="9" spans="1:5">
      <c r="A9" s="92" t="s">
        <v>511</v>
      </c>
      <c r="B9" s="93"/>
    </row>
    <row r="10" spans="1:5">
      <c r="A10" s="92" t="s">
        <v>512</v>
      </c>
      <c r="B10" s="93"/>
    </row>
    <row r="11" spans="1:5" ht="13" thickBot="1">
      <c r="A11" s="94" t="s">
        <v>513</v>
      </c>
      <c r="B11" s="95"/>
    </row>
  </sheetData>
  <mergeCells count="2">
    <mergeCell ref="A1:B1"/>
    <mergeCell ref="D1:E1"/>
  </mergeCells>
  <phoneticPr fontId="29" type="noConversion"/>
  <pageMargins left="0.7" right="0.7" top="0.75" bottom="0.75" header="0.3" footer="0.3"/>
  <ignoredErrors>
    <ignoredError sqref="A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17"/>
  <sheetViews>
    <sheetView showGridLines="0" workbookViewId="0">
      <selection activeCell="K19" sqref="K19"/>
    </sheetView>
  </sheetViews>
  <sheetFormatPr defaultRowHeight="12.5"/>
  <cols>
    <col min="1" max="1" width="8.90625" customWidth="1"/>
    <col min="8" max="8" width="11.90625" customWidth="1"/>
  </cols>
  <sheetData>
    <row r="1" spans="1:8" ht="13">
      <c r="A1" s="364" t="s">
        <v>480</v>
      </c>
      <c r="B1" s="365"/>
      <c r="C1" s="365"/>
      <c r="D1" s="365"/>
      <c r="E1" s="365"/>
      <c r="F1" s="365"/>
      <c r="G1" s="365"/>
      <c r="H1" s="366"/>
    </row>
    <row r="2" spans="1:8">
      <c r="A2" s="24" t="s">
        <v>2</v>
      </c>
      <c r="B2" s="28"/>
      <c r="C2" s="495"/>
      <c r="D2" s="496"/>
      <c r="E2" s="496"/>
      <c r="F2" s="496"/>
      <c r="G2" s="496"/>
      <c r="H2" s="497"/>
    </row>
    <row r="3" spans="1:8">
      <c r="A3" s="24">
        <v>0</v>
      </c>
      <c r="B3" s="28" t="s">
        <v>481</v>
      </c>
      <c r="C3" s="495" t="s">
        <v>482</v>
      </c>
      <c r="D3" s="496"/>
      <c r="E3" s="496"/>
      <c r="F3" s="496"/>
      <c r="G3" s="496"/>
      <c r="H3" s="497"/>
    </row>
    <row r="4" spans="1:8" ht="13" thickBot="1">
      <c r="A4" s="25">
        <v>4</v>
      </c>
      <c r="B4" s="56" t="s">
        <v>481</v>
      </c>
      <c r="C4" s="498" t="s">
        <v>483</v>
      </c>
      <c r="D4" s="499"/>
      <c r="E4" s="499"/>
      <c r="F4" s="499"/>
      <c r="G4" s="499"/>
      <c r="H4" s="500"/>
    </row>
    <row r="5" spans="1:8" ht="13" thickBot="1"/>
    <row r="6" spans="1:8" ht="13">
      <c r="A6" s="492" t="s">
        <v>484</v>
      </c>
      <c r="B6" s="493"/>
      <c r="C6" s="493"/>
      <c r="D6" s="493"/>
      <c r="E6" s="493"/>
      <c r="F6" s="494"/>
    </row>
    <row r="7" spans="1:8">
      <c r="A7" s="24" t="s">
        <v>2</v>
      </c>
      <c r="B7" s="28"/>
      <c r="C7" s="495"/>
      <c r="D7" s="496"/>
      <c r="E7" s="496"/>
      <c r="F7" s="497"/>
    </row>
    <row r="8" spans="1:8">
      <c r="A8" s="24">
        <v>0</v>
      </c>
      <c r="B8" s="28" t="s">
        <v>485</v>
      </c>
      <c r="C8" s="495" t="s">
        <v>486</v>
      </c>
      <c r="D8" s="496"/>
      <c r="E8" s="496"/>
      <c r="F8" s="497"/>
    </row>
    <row r="9" spans="1:8">
      <c r="A9" s="24">
        <v>4</v>
      </c>
      <c r="B9" s="28" t="s">
        <v>487</v>
      </c>
      <c r="C9" s="495" t="s">
        <v>488</v>
      </c>
      <c r="D9" s="496"/>
      <c r="E9" s="496"/>
      <c r="F9" s="497"/>
    </row>
    <row r="10" spans="1:8">
      <c r="A10" s="24">
        <v>5</v>
      </c>
      <c r="B10" s="28" t="s">
        <v>487</v>
      </c>
      <c r="C10" s="495" t="s">
        <v>489</v>
      </c>
      <c r="D10" s="496"/>
      <c r="E10" s="496"/>
      <c r="F10" s="497"/>
    </row>
    <row r="11" spans="1:8">
      <c r="A11" s="24">
        <v>6</v>
      </c>
      <c r="B11" s="28" t="s">
        <v>487</v>
      </c>
      <c r="C11" s="495" t="s">
        <v>489</v>
      </c>
      <c r="D11" s="496"/>
      <c r="E11" s="496"/>
      <c r="F11" s="497"/>
    </row>
    <row r="12" spans="1:8">
      <c r="A12" s="24">
        <v>7</v>
      </c>
      <c r="B12" s="28" t="s">
        <v>487</v>
      </c>
      <c r="C12" s="495" t="s">
        <v>489</v>
      </c>
      <c r="D12" s="496"/>
      <c r="E12" s="496"/>
      <c r="F12" s="497"/>
    </row>
    <row r="13" spans="1:8">
      <c r="A13" s="24">
        <v>8</v>
      </c>
      <c r="B13" s="28" t="s">
        <v>485</v>
      </c>
      <c r="C13" s="495" t="s">
        <v>490</v>
      </c>
      <c r="D13" s="496"/>
      <c r="E13" s="496"/>
      <c r="F13" s="497"/>
    </row>
    <row r="14" spans="1:8">
      <c r="A14" s="24">
        <v>12</v>
      </c>
      <c r="B14" s="28" t="s">
        <v>487</v>
      </c>
      <c r="C14" s="495" t="s">
        <v>488</v>
      </c>
      <c r="D14" s="496"/>
      <c r="E14" s="496"/>
      <c r="F14" s="497"/>
    </row>
    <row r="15" spans="1:8">
      <c r="A15" s="24">
        <v>13</v>
      </c>
      <c r="B15" s="28" t="s">
        <v>487</v>
      </c>
      <c r="C15" s="495" t="s">
        <v>489</v>
      </c>
      <c r="D15" s="496"/>
      <c r="E15" s="496"/>
      <c r="F15" s="497"/>
    </row>
    <row r="16" spans="1:8">
      <c r="A16" s="24">
        <v>14</v>
      </c>
      <c r="B16" s="28" t="s">
        <v>487</v>
      </c>
      <c r="C16" s="495" t="s">
        <v>489</v>
      </c>
      <c r="D16" s="496"/>
      <c r="E16" s="496"/>
      <c r="F16" s="497"/>
    </row>
    <row r="17" spans="1:6" ht="13" thickBot="1">
      <c r="A17" s="25">
        <v>15</v>
      </c>
      <c r="B17" s="56" t="s">
        <v>487</v>
      </c>
      <c r="C17" s="498" t="s">
        <v>489</v>
      </c>
      <c r="D17" s="499"/>
      <c r="E17" s="499"/>
      <c r="F17" s="500"/>
    </row>
  </sheetData>
  <mergeCells count="16">
    <mergeCell ref="C14:F14"/>
    <mergeCell ref="C15:F15"/>
    <mergeCell ref="C16:F16"/>
    <mergeCell ref="C17:F17"/>
    <mergeCell ref="C2:H2"/>
    <mergeCell ref="C3:H3"/>
    <mergeCell ref="C4:H4"/>
    <mergeCell ref="C8:F8"/>
    <mergeCell ref="C13:F13"/>
    <mergeCell ref="A1:H1"/>
    <mergeCell ref="A6:F6"/>
    <mergeCell ref="C10:F10"/>
    <mergeCell ref="C11:F11"/>
    <mergeCell ref="C12:F12"/>
    <mergeCell ref="C7:F7"/>
    <mergeCell ref="C9:F9"/>
  </mergeCells>
  <phoneticPr fontId="7" type="noConversion"/>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showGridLines="0" workbookViewId="0">
      <selection activeCell="F19" sqref="F19"/>
    </sheetView>
  </sheetViews>
  <sheetFormatPr defaultRowHeight="12.5"/>
  <cols>
    <col min="1" max="1" width="8.90625" customWidth="1"/>
    <col min="2" max="2" width="31.453125" customWidth="1"/>
  </cols>
  <sheetData>
    <row r="1" spans="1:5" ht="13">
      <c r="A1" s="501" t="s">
        <v>491</v>
      </c>
      <c r="B1" s="502"/>
      <c r="E1" s="9"/>
    </row>
    <row r="2" spans="1:5" ht="13">
      <c r="A2" s="32" t="s">
        <v>2</v>
      </c>
      <c r="B2" s="33" t="s">
        <v>144</v>
      </c>
    </row>
    <row r="3" spans="1:5">
      <c r="A3" s="24">
        <v>0</v>
      </c>
      <c r="B3" s="27" t="s">
        <v>492</v>
      </c>
    </row>
    <row r="4" spans="1:5">
      <c r="A4" s="24">
        <v>2</v>
      </c>
      <c r="B4" s="27" t="s">
        <v>493</v>
      </c>
    </row>
    <row r="5" spans="1:5">
      <c r="A5" s="24">
        <v>4</v>
      </c>
      <c r="B5" s="27" t="s">
        <v>494</v>
      </c>
    </row>
    <row r="6" spans="1:5" ht="13" thickBot="1">
      <c r="A6" s="25">
        <v>6</v>
      </c>
      <c r="B6" s="47" t="s">
        <v>495</v>
      </c>
    </row>
    <row r="7" spans="1:5" ht="13" thickBot="1">
      <c r="A7" s="26"/>
      <c r="B7" s="26"/>
    </row>
    <row r="8" spans="1:5" ht="13">
      <c r="A8" s="358" t="s">
        <v>496</v>
      </c>
      <c r="B8" s="360"/>
    </row>
    <row r="9" spans="1:5">
      <c r="A9" s="24">
        <v>0</v>
      </c>
      <c r="B9" s="27" t="s">
        <v>497</v>
      </c>
    </row>
    <row r="10" spans="1:5">
      <c r="A10" s="24">
        <v>4</v>
      </c>
      <c r="B10" s="27" t="s">
        <v>498</v>
      </c>
    </row>
    <row r="11" spans="1:5" ht="13" thickBot="1">
      <c r="A11" s="25">
        <v>8</v>
      </c>
      <c r="B11" s="47" t="s">
        <v>499</v>
      </c>
    </row>
  </sheetData>
  <mergeCells count="2">
    <mergeCell ref="A1:B1"/>
    <mergeCell ref="A8:B8"/>
  </mergeCells>
  <phoneticPr fontId="29"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018B-3453-4E05-A63A-ECEFD6F6671F}">
  <dimension ref="A1"/>
  <sheetViews>
    <sheetView workbookViewId="0"/>
  </sheetViews>
  <sheetFormatPr defaultRowHeight="12.5"/>
  <sheetData/>
  <phoneticPr fontId="29"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0AF5-AFA8-4837-9443-E3B19EAFB2E1}">
  <dimension ref="A1:J46"/>
  <sheetViews>
    <sheetView topLeftCell="A7" zoomScaleNormal="100" workbookViewId="0">
      <selection activeCell="A2" sqref="A2"/>
    </sheetView>
  </sheetViews>
  <sheetFormatPr defaultColWidth="8.54296875" defaultRowHeight="12.5"/>
  <cols>
    <col min="1" max="1" width="100.453125" style="120" customWidth="1"/>
    <col min="2" max="16384" width="8.54296875" style="17"/>
  </cols>
  <sheetData>
    <row r="1" spans="1:10" ht="25">
      <c r="A1" s="119" t="s">
        <v>964</v>
      </c>
      <c r="B1" s="16"/>
      <c r="C1" s="16"/>
      <c r="D1" s="16"/>
      <c r="E1" s="16"/>
      <c r="F1" s="16"/>
      <c r="G1" s="16"/>
      <c r="H1" s="16"/>
      <c r="I1" s="16"/>
      <c r="J1" s="16"/>
    </row>
    <row r="2" spans="1:10" ht="19.5" customHeight="1">
      <c r="A2" s="119" t="s">
        <v>965</v>
      </c>
      <c r="B2" s="16"/>
      <c r="C2" s="16"/>
      <c r="D2" s="16"/>
      <c r="E2" s="16"/>
      <c r="F2" s="16"/>
      <c r="G2" s="16"/>
      <c r="H2" s="16"/>
      <c r="I2" s="16"/>
      <c r="J2" s="16"/>
    </row>
    <row r="3" spans="1:10" ht="17.25" customHeight="1">
      <c r="A3" s="120" t="s">
        <v>966</v>
      </c>
    </row>
    <row r="4" spans="1:10" ht="73.25" customHeight="1">
      <c r="A4" s="119" t="s">
        <v>967</v>
      </c>
    </row>
    <row r="5" spans="1:10" ht="39.75" customHeight="1">
      <c r="A5" s="119" t="s">
        <v>968</v>
      </c>
    </row>
    <row r="6" spans="1:10" ht="13">
      <c r="J6" s="309"/>
    </row>
    <row r="7" spans="1:10" ht="33" customHeight="1">
      <c r="A7" s="119" t="s">
        <v>969</v>
      </c>
    </row>
    <row r="8" spans="1:10" ht="21" customHeight="1">
      <c r="A8" s="120" t="s">
        <v>972</v>
      </c>
    </row>
    <row r="9" spans="1:10" ht="39.75" customHeight="1">
      <c r="A9" s="119" t="s">
        <v>970</v>
      </c>
    </row>
    <row r="10" spans="1:10" ht="25.5" customHeight="1">
      <c r="A10" s="120" t="s">
        <v>655</v>
      </c>
    </row>
    <row r="11" spans="1:10" ht="48" customHeight="1">
      <c r="A11" s="119" t="s">
        <v>971</v>
      </c>
    </row>
    <row r="12" spans="1:10" ht="28.5" customHeight="1">
      <c r="A12" s="119" t="s">
        <v>656</v>
      </c>
    </row>
    <row r="13" spans="1:10" ht="18" customHeight="1">
      <c r="A13" s="119" t="s">
        <v>657</v>
      </c>
    </row>
    <row r="14" spans="1:10" ht="22.5" customHeight="1">
      <c r="A14" s="119" t="s">
        <v>658</v>
      </c>
    </row>
    <row r="15" spans="1:10" ht="19.5" customHeight="1">
      <c r="A15" s="119" t="s">
        <v>659</v>
      </c>
    </row>
    <row r="16" spans="1:10" ht="40.5" customHeight="1">
      <c r="A16" s="119" t="s">
        <v>660</v>
      </c>
    </row>
    <row r="17" spans="1:1" ht="40.5" customHeight="1">
      <c r="A17" s="119" t="s">
        <v>661</v>
      </c>
    </row>
    <row r="18" spans="1:1" ht="35.25" customHeight="1">
      <c r="A18" s="119" t="s">
        <v>662</v>
      </c>
    </row>
    <row r="19" spans="1:1" ht="9.9" customHeight="1">
      <c r="A19" s="119"/>
    </row>
    <row r="20" spans="1:1" ht="35.25" customHeight="1">
      <c r="A20" s="119" t="s">
        <v>663</v>
      </c>
    </row>
    <row r="21" spans="1:1" ht="35.25" customHeight="1">
      <c r="A21" s="119" t="s">
        <v>664</v>
      </c>
    </row>
    <row r="22" spans="1:1" ht="35.25" customHeight="1">
      <c r="A22" s="119" t="s">
        <v>665</v>
      </c>
    </row>
    <row r="23" spans="1:1" ht="35.25" customHeight="1">
      <c r="A23" s="119" t="s">
        <v>666</v>
      </c>
    </row>
    <row r="24" spans="1:1" ht="39.9" customHeight="1">
      <c r="A24" s="119" t="s">
        <v>667</v>
      </c>
    </row>
    <row r="25" spans="1:1" ht="30.75" customHeight="1">
      <c r="A25" s="119" t="s">
        <v>668</v>
      </c>
    </row>
    <row r="26" spans="1:1" ht="32.25" customHeight="1">
      <c r="A26" s="119" t="s">
        <v>669</v>
      </c>
    </row>
    <row r="27" spans="1:1" ht="12.9" customHeight="1">
      <c r="A27" s="119"/>
    </row>
    <row r="28" spans="1:1" ht="41.4" customHeight="1">
      <c r="A28" s="119" t="s">
        <v>670</v>
      </c>
    </row>
    <row r="29" spans="1:1" ht="23.25" customHeight="1">
      <c r="A29" s="119" t="s">
        <v>671</v>
      </c>
    </row>
    <row r="30" spans="1:1" ht="23.25" customHeight="1">
      <c r="A30" s="119" t="s">
        <v>672</v>
      </c>
    </row>
    <row r="31" spans="1:1" ht="30" customHeight="1">
      <c r="A31" s="119" t="s">
        <v>673</v>
      </c>
    </row>
    <row r="32" spans="1:1" ht="21.75" customHeight="1">
      <c r="A32" s="119" t="s">
        <v>674</v>
      </c>
    </row>
    <row r="33" spans="1:1" ht="22.5" customHeight="1">
      <c r="A33" s="119" t="s">
        <v>675</v>
      </c>
    </row>
    <row r="34" spans="1:1" ht="22.5" customHeight="1">
      <c r="A34" s="119" t="s">
        <v>676</v>
      </c>
    </row>
    <row r="35" spans="1:1" ht="17.25" customHeight="1">
      <c r="A35" s="119" t="s">
        <v>677</v>
      </c>
    </row>
    <row r="36" spans="1:1" ht="18" customHeight="1">
      <c r="A36" s="119" t="s">
        <v>678</v>
      </c>
    </row>
    <row r="37" spans="1:1" ht="16.5" customHeight="1">
      <c r="A37" s="119" t="s">
        <v>679</v>
      </c>
    </row>
    <row r="38" spans="1:1" ht="18.75" customHeight="1">
      <c r="A38" s="119" t="s">
        <v>680</v>
      </c>
    </row>
    <row r="39" spans="1:1" ht="16.5" customHeight="1">
      <c r="A39" s="119" t="s">
        <v>681</v>
      </c>
    </row>
    <row r="40" spans="1:1" ht="15.75" customHeight="1">
      <c r="A40" s="119" t="s">
        <v>682</v>
      </c>
    </row>
    <row r="41" spans="1:1" ht="16.5" customHeight="1">
      <c r="A41" s="119" t="s">
        <v>683</v>
      </c>
    </row>
    <row r="42" spans="1:1" ht="18" customHeight="1">
      <c r="A42" s="119" t="s">
        <v>684</v>
      </c>
    </row>
    <row r="43" spans="1:1" ht="17.25" customHeight="1">
      <c r="A43" s="119" t="s">
        <v>685</v>
      </c>
    </row>
    <row r="44" spans="1:1" ht="15.75" customHeight="1">
      <c r="A44" s="119" t="s">
        <v>686</v>
      </c>
    </row>
    <row r="45" spans="1:1" ht="15.75" customHeight="1">
      <c r="A45" s="119" t="s">
        <v>687</v>
      </c>
    </row>
    <row r="46" spans="1:1" ht="17.25" customHeight="1"/>
  </sheetData>
  <phoneticPr fontId="3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38abd2a-9013-40fb-a3d9-0bd54d662697" xsi:nil="true"/>
    <lcf76f155ced4ddcb4097134ff3c332f xmlns="f1a03ed6-4535-4667-a8a8-ed28797777d4">
      <Terms xmlns="http://schemas.microsoft.com/office/infopath/2007/PartnerControls"/>
    </lcf76f155ced4ddcb4097134ff3c332f>
    <m85d8a6fdb684f1bb39c391ec8a5dda2 xmlns="838abd2a-9013-40fb-a3d9-0bd54d662697">
      <Terms xmlns="http://schemas.microsoft.com/office/infopath/2007/PartnerControls"/>
    </m85d8a6fdb684f1bb39c391ec8a5dda2>
    <g877ac27b5a043bfabb40c206d1d5836 xmlns="838abd2a-9013-40fb-a3d9-0bd54d662697">
      <Terms xmlns="http://schemas.microsoft.com/office/infopath/2007/PartnerControls"/>
    </g877ac27b5a043bfabb40c206d1d5836>
    <n3b7cdc4b86546858f2634baecd8f739 xmlns="838abd2a-9013-40fb-a3d9-0bd54d662697">
      <Terms xmlns="http://schemas.microsoft.com/office/infopath/2007/PartnerControls"/>
    </n3b7cdc4b86546858f2634baecd8f739>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F64D9A4F875794E9A4A619301173A14" ma:contentTypeVersion="" ma:contentTypeDescription="Create a new document." ma:contentTypeScope="" ma:versionID="814a32f5f94de4ce618eb8b4be5cd239">
  <xsd:schema xmlns:xsd="http://www.w3.org/2001/XMLSchema" xmlns:xs="http://www.w3.org/2001/XMLSchema" xmlns:p="http://schemas.microsoft.com/office/2006/metadata/properties" xmlns:ns2="838abd2a-9013-40fb-a3d9-0bd54d662697" xmlns:ns3="f1a03ed6-4535-4667-a8a8-ed28797777d4" targetNamespace="http://schemas.microsoft.com/office/2006/metadata/properties" ma:root="true" ma:fieldsID="8ece0ba8e9421f7e31c40c3cb2e2c6b4" ns2:_="" ns3:_="">
    <xsd:import namespace="838abd2a-9013-40fb-a3d9-0bd54d662697"/>
    <xsd:import namespace="f1a03ed6-4535-4667-a8a8-ed28797777d4"/>
    <xsd:element name="properties">
      <xsd:complexType>
        <xsd:sequence>
          <xsd:element name="documentManagement">
            <xsd:complexType>
              <xsd:all>
                <xsd:element ref="ns2:m85d8a6fdb684f1bb39c391ec8a5dda2" minOccurs="0"/>
                <xsd:element ref="ns2:g877ac27b5a043bfabb40c206d1d5836" minOccurs="0"/>
                <xsd:element ref="ns2:n3b7cdc4b86546858f2634baecd8f739" minOccurs="0"/>
                <xsd:element ref="ns2:TaxCatchAll" minOccurs="0"/>
                <xsd:element ref="ns2:TaxCatchAllLabel"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8abd2a-9013-40fb-a3d9-0bd54d662697" elementFormDefault="qualified">
    <xsd:import namespace="http://schemas.microsoft.com/office/2006/documentManagement/types"/>
    <xsd:import namespace="http://schemas.microsoft.com/office/infopath/2007/PartnerControls"/>
    <xsd:element name="m85d8a6fdb684f1bb39c391ec8a5dda2" ma:index="8" nillable="true" ma:taxonomy="true" ma:internalName="m85d8a6fdb684f1bb39c391ec8a5dda2" ma:taxonomyFieldName="emm_Function" ma:displayName="emm_Function" ma:readOnly="false" ma:fieldId="{685d8a6f-db68-4f1b-b39c-391ec8a5dda2}" ma:sspId="a6132ae4-778c-4f2e-8eff-e4d65b784e8a" ma:termSetId="2cdd7b0f-fc41-4bc0-b507-1083be529d14" ma:anchorId="00000000-0000-0000-0000-000000000000" ma:open="false" ma:isKeyword="false">
      <xsd:complexType>
        <xsd:sequence>
          <xsd:element ref="pc:Terms" minOccurs="0" maxOccurs="1"/>
        </xsd:sequence>
      </xsd:complexType>
    </xsd:element>
    <xsd:element name="g877ac27b5a043bfabb40c206d1d5836" ma:index="9" nillable="true" ma:taxonomy="true" ma:internalName="g877ac27b5a043bfabb40c206d1d5836" ma:taxonomyFieldName="emm_Division" ma:displayName="emm_Division" ma:readOnly="false" ma:fieldId="{0877ac27-b5a0-43bf-abb4-0c206d1d5836}" ma:sspId="a6132ae4-778c-4f2e-8eff-e4d65b784e8a" ma:termSetId="5dde4a48-55d5-4c0a-9779-582059f53b16" ma:anchorId="00000000-0000-0000-0000-000000000000" ma:open="false" ma:isKeyword="false">
      <xsd:complexType>
        <xsd:sequence>
          <xsd:element ref="pc:Terms" minOccurs="0" maxOccurs="1"/>
        </xsd:sequence>
      </xsd:complexType>
    </xsd:element>
    <xsd:element name="n3b7cdc4b86546858f2634baecd8f739" ma:index="10" nillable="true" ma:taxonomy="true" ma:internalName="n3b7cdc4b86546858f2634baecd8f739" ma:taxonomyFieldName="emm_Language" ma:displayName="emm_Language" ma:readOnly="false" ma:fieldId="{73b7cdc4-b865-4685-8f26-34baecd8f739}" ma:sspId="a6132ae4-778c-4f2e-8eff-e4d65b784e8a" ma:termSetId="628d4a0e-43e1-471b-bfbd-4dccf339dc98"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f974aff8-f3c7-4b5d-83e8-2a4cd3b19f48}" ma:internalName="TaxCatchAll" ma:showField="CatchAllData" ma:web="838abd2a-9013-40fb-a3d9-0bd54d662697">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f974aff8-f3c7-4b5d-83e8-2a4cd3b19f48}" ma:internalName="TaxCatchAllLabel" ma:readOnly="true" ma:showField="CatchAllDataLabel" ma:web="838abd2a-9013-40fb-a3d9-0bd54d6626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1a03ed6-4535-4667-a8a8-ed28797777d4"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a6132ae4-778c-4f2e-8eff-e4d65b784e8a"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68C324-E3DD-4DAB-9482-828472BB801A}">
  <ds:schemaRefs>
    <ds:schemaRef ds:uri="http://schemas.microsoft.com/sharepoint/v3/contenttype/forms"/>
  </ds:schemaRefs>
</ds:datastoreItem>
</file>

<file path=customXml/itemProps2.xml><?xml version="1.0" encoding="utf-8"?>
<ds:datastoreItem xmlns:ds="http://schemas.openxmlformats.org/officeDocument/2006/customXml" ds:itemID="{4DAF6706-227E-4175-8016-EA9C6B9A44A7}">
  <ds:schemaRefs>
    <ds:schemaRef ds:uri="http://schemas.microsoft.com/office/2006/metadata/properties"/>
    <ds:schemaRef ds:uri="http://schemas.microsoft.com/office/infopath/2007/PartnerControls"/>
    <ds:schemaRef ds:uri="f344bcbd-5ea0-4183-b03b-4f5cc7175df4"/>
    <ds:schemaRef ds:uri="bac3aaf3-e2eb-4bf3-8289-20cb625f00d9"/>
    <ds:schemaRef ds:uri="838abd2a-9013-40fb-a3d9-0bd54d662697"/>
    <ds:schemaRef ds:uri="f1a03ed6-4535-4667-a8a8-ed28797777d4"/>
  </ds:schemaRefs>
</ds:datastoreItem>
</file>

<file path=customXml/itemProps3.xml><?xml version="1.0" encoding="utf-8"?>
<ds:datastoreItem xmlns:ds="http://schemas.openxmlformats.org/officeDocument/2006/customXml" ds:itemID="{4C672EC1-A889-49F6-B177-573E731320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8abd2a-9013-40fb-a3d9-0bd54d662697"/>
    <ds:schemaRef ds:uri="f1a03ed6-4535-4667-a8a8-ed28797777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1</vt:i4>
      </vt:variant>
    </vt:vector>
  </HeadingPairs>
  <TitlesOfParts>
    <vt:vector size="16" baseType="lpstr">
      <vt:lpstr>Revision Record</vt:lpstr>
      <vt:lpstr>FT IO Table Address Table</vt:lpstr>
      <vt:lpstr>Auto Output</vt:lpstr>
      <vt:lpstr>Input Tables</vt:lpstr>
      <vt:lpstr>FT_HW&amp;SW_Version</vt:lpstr>
      <vt:lpstr>Output Tables</vt:lpstr>
      <vt:lpstr>MPI</vt:lpstr>
      <vt:lpstr>Resolver and Current Sense</vt:lpstr>
      <vt:lpstr>Inverter Motor Control Data</vt:lpstr>
      <vt:lpstr>Communication</vt:lpstr>
      <vt:lpstr>LVL3_PIC</vt:lpstr>
      <vt:lpstr>RAM Test</vt:lpstr>
      <vt:lpstr>C3PS</vt:lpstr>
      <vt:lpstr>Sheet1</vt:lpstr>
      <vt:lpstr>User Instructions </vt:lpstr>
      <vt:lpstr>'FT_HW&amp;SW_Version'!_Hlk99025314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Delphi;Jill Colwell</dc:creator>
  <cp:keywords/>
  <dc:description>Updated for B2 HW</dc:description>
  <cp:lastModifiedBy>Li, Hang</cp:lastModifiedBy>
  <cp:revision/>
  <dcterms:created xsi:type="dcterms:W3CDTF">2007-08-21T14:38:51Z</dcterms:created>
  <dcterms:modified xsi:type="dcterms:W3CDTF">2026-02-28T08:42:56Z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0x0101002F64D9A4F875794E9A4A619301173A14</vt:lpwstr>
  </property>
  <property fmtid="{D5CDD505-2E9C-101B-9397-08002B2CF9AE}" pid="3" name="emm_Division">
    <vt:lpwstr/>
  </property>
  <property fmtid="{D5CDD505-2E9C-101B-9397-08002B2CF9AE}" pid="4" name="MediaServiceImageTags">
    <vt:lpwstr/>
  </property>
  <property fmtid="{D5CDD505-2E9C-101B-9397-08002B2CF9AE}" pid="5" name="emm_Language">
    <vt:lpwstr/>
  </property>
  <property fmtid="{D5CDD505-2E9C-101B-9397-08002B2CF9AE}" pid="6" name="emm_Function">
    <vt:lpwstr/>
  </property>
</Properties>
</file>