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vsdx" ContentType="application/vnd.ms-visio.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drawings/drawing2.xml" ContentType="application/vnd.openxmlformats-officedocument.drawing+xml"/>
  <Override PartName="/xl/ink/ink5.xml" ContentType="application/inkml+xml"/>
  <Override PartName="/xl/ink/ink6.xml" ContentType="application/inkml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gan\Downloads\C96 HSIS\C96_Locator\"/>
    </mc:Choice>
  </mc:AlternateContent>
  <xr:revisionPtr revIDLastSave="0" documentId="13_ncr:1_{41C8A0F0-8A5A-40CA-94D3-BC7CEA828BBC}" xr6:coauthVersionLast="47" xr6:coauthVersionMax="47" xr10:uidLastSave="{00000000-0000-0000-0000-000000000000}"/>
  <bookViews>
    <workbookView xWindow="28680" yWindow="-120" windowWidth="29040" windowHeight="15840" tabRatio="1000" firstSheet="8" activeTab="17" xr2:uid="{BB990DFF-3DA8-4F56-8156-9B471680C893}"/>
  </bookViews>
  <sheets>
    <sheet name="Version_info" sheetId="24" r:id="rId1"/>
    <sheet name="Address Table " sheetId="10" r:id="rId2"/>
    <sheet name="1_FT_Analog_Inputs" sheetId="3" r:id="rId3"/>
    <sheet name="3_FT_Discrete_Inputs" sheetId="5" r:id="rId4"/>
    <sheet name="4_FT_Pulse_Inputs_Duty" sheetId="6" r:id="rId5"/>
    <sheet name="4S_FT_Freq_Inputs" sheetId="20" r:id="rId6"/>
    <sheet name="5_FT_Phase_Temp_Inputs" sheetId="19" r:id="rId7"/>
    <sheet name="6_FT_Enables" sheetId="7" r:id="rId8"/>
    <sheet name="7_FT_Pulse_Output" sheetId="23" r:id="rId9"/>
    <sheet name="8_Resolver_Para" sheetId="16" r:id="rId10"/>
    <sheet name="9_Mode change&amp;ECU info" sheetId="18" r:id="rId11"/>
    <sheet name="10_Motor_TM1" sheetId="13" r:id="rId12"/>
    <sheet name="11_Motor_TM2" sheetId="14" r:id="rId13"/>
    <sheet name="12_Current_sensor_test" sheetId="15" r:id="rId14"/>
    <sheet name="13_Communication" sheetId="17" r:id="rId15"/>
    <sheet name="14_Auto Output PWM _TM1" sheetId="11" r:id="rId16"/>
    <sheet name="15_Auto Output PWM _TM2" sheetId="12" r:id="rId17"/>
    <sheet name="16_FT_MPI" sheetId="25" r:id="rId18"/>
  </sheets>
  <definedNames>
    <definedName name="_xlnm._FilterDatabase" localSheetId="2" hidden="1">'1_FT_Analog_Inputs'!$A$2:$E$70</definedName>
    <definedName name="_xlnm._FilterDatabase" localSheetId="3" hidden="1">'3_FT_Discrete_Inputs'!$A$2:$C$28</definedName>
    <definedName name="_xlnm._FilterDatabase" localSheetId="4" hidden="1">'4_FT_Pulse_Inputs_Duty'!$A$2:$D$35</definedName>
    <definedName name="_xlnm._FilterDatabase" localSheetId="5" hidden="1">'4S_FT_Freq_Inputs'!$A$2:$D$10</definedName>
    <definedName name="_xlnm._FilterDatabase" localSheetId="6" hidden="1">'5_FT_Phase_Temp_Inputs'!$A$2:$D$23</definedName>
    <definedName name="_xlnm._FilterDatabase" localSheetId="7" hidden="1">'6_FT_Enables'!$A$2:$C$35</definedName>
    <definedName name="_xlnm._FilterDatabase" localSheetId="8" hidden="1">'7_FT_Pulse_Output'!$A$2:$D$31</definedName>
    <definedName name="D1_">#REF!</definedName>
    <definedName name="D2_">#REF!</definedName>
    <definedName name="OLE_LINK5" localSheetId="13">'12_Current_sensor_test'!$E$3</definedName>
    <definedName name="_xlnm.Print_Area" localSheetId="1">'Address Table '!$B$1:$E$52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5" l="1"/>
  <c r="A5" i="25"/>
  <c r="A6" i="25" s="1"/>
  <c r="B4" i="25"/>
  <c r="A7" i="25" l="1"/>
  <c r="B6" i="25"/>
  <c r="B7" i="25" l="1"/>
  <c r="A8" i="25"/>
  <c r="A9" i="25" l="1"/>
  <c r="B8" i="25"/>
  <c r="A10" i="25" l="1"/>
  <c r="B9" i="25"/>
  <c r="A11" i="25" l="1"/>
  <c r="B10" i="25"/>
  <c r="A12" i="25" l="1"/>
  <c r="B11" i="25"/>
  <c r="A13" i="25" l="1"/>
  <c r="B12" i="25"/>
  <c r="A14" i="25" l="1"/>
  <c r="B13" i="25"/>
  <c r="A15" i="25" l="1"/>
  <c r="B14" i="25"/>
  <c r="B15" i="25" l="1"/>
  <c r="A16" i="25"/>
  <c r="A17" i="25" l="1"/>
  <c r="B16" i="25"/>
  <c r="B17" i="25" l="1"/>
  <c r="A18" i="25"/>
  <c r="A19" i="25" l="1"/>
  <c r="B18" i="25"/>
  <c r="A20" i="25" l="1"/>
  <c r="B19" i="25"/>
  <c r="A21" i="25" l="1"/>
  <c r="B20" i="25"/>
  <c r="A22" i="25" l="1"/>
  <c r="B21" i="25"/>
  <c r="A23" i="25" l="1"/>
  <c r="B22" i="25"/>
  <c r="B23" i="25" l="1"/>
  <c r="A24" i="25"/>
  <c r="A25" i="25" l="1"/>
  <c r="B24" i="25"/>
  <c r="B25" i="25" l="1"/>
  <c r="A26" i="25"/>
  <c r="A27" i="25" l="1"/>
  <c r="B26" i="25"/>
  <c r="A28" i="25" l="1"/>
  <c r="B27" i="25"/>
  <c r="A29" i="25" l="1"/>
  <c r="B28" i="25"/>
  <c r="A30" i="25" l="1"/>
  <c r="B29" i="25"/>
  <c r="A31" i="25" l="1"/>
  <c r="B30" i="25"/>
  <c r="B31" i="25" l="1"/>
  <c r="A32" i="25"/>
  <c r="A33" i="25" l="1"/>
  <c r="B32" i="25"/>
  <c r="A34" i="25" l="1"/>
  <c r="B33" i="25"/>
  <c r="A35" i="25" l="1"/>
  <c r="B34" i="25"/>
  <c r="A36" i="25" l="1"/>
  <c r="B35" i="25"/>
  <c r="A37" i="25" l="1"/>
  <c r="B36" i="25"/>
  <c r="A38" i="25" l="1"/>
  <c r="B37" i="25"/>
  <c r="A39" i="25" l="1"/>
  <c r="B38" i="25"/>
  <c r="B39" i="25" l="1"/>
  <c r="A40" i="25"/>
  <c r="A41" i="25" l="1"/>
  <c r="B40" i="25"/>
  <c r="B41" i="25" l="1"/>
  <c r="A42" i="25"/>
  <c r="A43" i="25" l="1"/>
  <c r="B42" i="25"/>
  <c r="A44" i="25" l="1"/>
  <c r="B43" i="25"/>
  <c r="A45" i="25" l="1"/>
  <c r="B44" i="25"/>
  <c r="A46" i="25" l="1"/>
  <c r="B45" i="25"/>
  <c r="A47" i="25" l="1"/>
  <c r="B46" i="25"/>
  <c r="B47" i="25" l="1"/>
  <c r="A48" i="25"/>
  <c r="A49" i="25" l="1"/>
  <c r="B48" i="25"/>
  <c r="B49" i="25" l="1"/>
  <c r="A50" i="25"/>
  <c r="A51" i="25" l="1"/>
  <c r="B50" i="25"/>
  <c r="A52" i="25" l="1"/>
  <c r="B51" i="25"/>
  <c r="A53" i="25" l="1"/>
  <c r="B52" i="25"/>
  <c r="A54" i="25" l="1"/>
  <c r="B53" i="25"/>
  <c r="A55" i="25" l="1"/>
  <c r="B54" i="25"/>
  <c r="B55" i="25" l="1"/>
  <c r="A56" i="25"/>
  <c r="A57" i="25" l="1"/>
  <c r="B56" i="25"/>
  <c r="A58" i="25" l="1"/>
  <c r="B57" i="25"/>
  <c r="A59" i="25" l="1"/>
  <c r="B58" i="25"/>
  <c r="A60" i="25" l="1"/>
  <c r="B59" i="25"/>
  <c r="A61" i="25" l="1"/>
  <c r="B60" i="25"/>
  <c r="A62" i="25" l="1"/>
  <c r="B61" i="25"/>
  <c r="A63" i="25" l="1"/>
  <c r="B62" i="25"/>
  <c r="A64" i="25" l="1"/>
  <c r="B63" i="25"/>
  <c r="A65" i="25" l="1"/>
  <c r="B64" i="25"/>
  <c r="A66" i="25" l="1"/>
  <c r="B65" i="25"/>
  <c r="A67" i="25" l="1"/>
  <c r="B66" i="25"/>
  <c r="A68" i="25" l="1"/>
  <c r="B67" i="25"/>
  <c r="A69" i="25" l="1"/>
  <c r="B68" i="25"/>
  <c r="A70" i="25" l="1"/>
  <c r="B69" i="25"/>
  <c r="A71" i="25" l="1"/>
  <c r="B71" i="25" s="1"/>
  <c r="B70" i="25"/>
  <c r="F28" i="5" l="1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A23" i="20"/>
  <c r="A22" i="20"/>
  <c r="A21" i="20"/>
  <c r="A20" i="20"/>
  <c r="A14" i="20"/>
  <c r="A13" i="20"/>
  <c r="A12" i="20"/>
  <c r="A11" i="20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26" i="6"/>
  <c r="A15" i="6"/>
  <c r="A16" i="6"/>
  <c r="A17" i="6"/>
  <c r="A18" i="6"/>
  <c r="A19" i="6"/>
  <c r="A20" i="6"/>
  <c r="A21" i="6"/>
  <c r="A22" i="6"/>
  <c r="A23" i="6"/>
  <c r="A24" i="6"/>
  <c r="A25" i="6"/>
  <c r="A14" i="6"/>
  <c r="A13" i="6"/>
  <c r="A12" i="6"/>
  <c r="A11" i="6"/>
  <c r="A10" i="6"/>
  <c r="A9" i="6"/>
  <c r="A8" i="6"/>
  <c r="A7" i="6"/>
  <c r="A6" i="6"/>
  <c r="A5" i="6"/>
  <c r="A4" i="6"/>
  <c r="A3" i="6"/>
  <c r="B4" i="19"/>
  <c r="B5" i="19" s="1"/>
  <c r="B6" i="19" s="1"/>
  <c r="A19" i="19"/>
  <c r="A20" i="19"/>
  <c r="B20" i="19"/>
  <c r="B21" i="19" s="1"/>
  <c r="A23" i="19"/>
  <c r="A24" i="19"/>
  <c r="A25" i="19"/>
  <c r="A26" i="19"/>
  <c r="A27" i="19"/>
  <c r="A28" i="19"/>
  <c r="A29" i="19"/>
  <c r="A30" i="19"/>
  <c r="A21" i="19" l="1"/>
  <c r="B22" i="19"/>
  <c r="A22" i="19" s="1"/>
  <c r="A91" i="23" l="1"/>
  <c r="A90" i="23"/>
  <c r="A89" i="23"/>
  <c r="A88" i="23"/>
  <c r="A87" i="23"/>
  <c r="A86" i="23"/>
  <c r="A85" i="23"/>
  <c r="A84" i="23"/>
  <c r="A83" i="23"/>
  <c r="A82" i="23"/>
  <c r="A81" i="23"/>
  <c r="A80" i="23"/>
  <c r="A79" i="23"/>
  <c r="A78" i="23"/>
  <c r="A77" i="23"/>
  <c r="A76" i="23"/>
  <c r="A75" i="23"/>
  <c r="A74" i="23"/>
  <c r="A73" i="23"/>
  <c r="A72" i="23"/>
  <c r="A71" i="23"/>
  <c r="A70" i="23"/>
  <c r="A69" i="23"/>
  <c r="A68" i="23"/>
  <c r="A67" i="23"/>
  <c r="A66" i="23"/>
  <c r="A60" i="23"/>
  <c r="A59" i="23"/>
  <c r="A58" i="23"/>
  <c r="A57" i="23"/>
  <c r="A56" i="23"/>
  <c r="A55" i="23"/>
  <c r="A54" i="23"/>
  <c r="A53" i="23"/>
  <c r="A52" i="23"/>
  <c r="A51" i="23"/>
  <c r="A50" i="23"/>
  <c r="A49" i="23"/>
  <c r="A48" i="23"/>
  <c r="A47" i="23"/>
  <c r="A46" i="23"/>
  <c r="A45" i="23"/>
  <c r="A44" i="23"/>
  <c r="A43" i="23"/>
  <c r="A42" i="23"/>
  <c r="A41" i="23"/>
  <c r="A40" i="23"/>
  <c r="A39" i="23"/>
  <c r="A38" i="23"/>
  <c r="A37" i="23"/>
  <c r="A36" i="23"/>
  <c r="A35" i="23"/>
  <c r="A27" i="23"/>
  <c r="A28" i="23"/>
  <c r="A16" i="23"/>
  <c r="A17" i="23"/>
  <c r="A18" i="23"/>
  <c r="A19" i="23"/>
  <c r="A20" i="23"/>
  <c r="A21" i="23"/>
  <c r="A22" i="23"/>
  <c r="A23" i="23"/>
  <c r="A24" i="23"/>
  <c r="A25" i="23"/>
  <c r="A26" i="23"/>
  <c r="A15" i="23"/>
  <c r="A14" i="23"/>
  <c r="A13" i="23"/>
  <c r="A12" i="23"/>
  <c r="A11" i="23"/>
  <c r="A10" i="23"/>
  <c r="A9" i="23"/>
  <c r="A8" i="23"/>
  <c r="A7" i="23"/>
  <c r="A6" i="23"/>
  <c r="A5" i="23"/>
  <c r="A4" i="23"/>
  <c r="A3" i="2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A3" i="20"/>
  <c r="A4" i="20"/>
  <c r="A5" i="20"/>
  <c r="A6" i="20"/>
  <c r="A47" i="19"/>
  <c r="A46" i="19"/>
  <c r="A45" i="19"/>
  <c r="A44" i="19"/>
  <c r="A43" i="19"/>
  <c r="A42" i="19"/>
  <c r="A41" i="19"/>
  <c r="A40" i="19"/>
  <c r="B37" i="19"/>
  <c r="B38" i="19" s="1"/>
  <c r="A36" i="19"/>
  <c r="A14" i="19"/>
  <c r="A13" i="19"/>
  <c r="A12" i="19"/>
  <c r="A11" i="19"/>
  <c r="A10" i="19"/>
  <c r="A9" i="19"/>
  <c r="A8" i="19"/>
  <c r="A7" i="19"/>
  <c r="A3" i="19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B141" i="3"/>
  <c r="B142" i="3" s="1"/>
  <c r="A141" i="3"/>
  <c r="A140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B73" i="3"/>
  <c r="B74" i="3" s="1"/>
  <c r="A74" i="3" s="1"/>
  <c r="B72" i="3"/>
  <c r="A72" i="3" s="1"/>
  <c r="A71" i="3"/>
  <c r="A12" i="16"/>
  <c r="A11" i="16"/>
  <c r="A10" i="16"/>
  <c r="A5" i="16"/>
  <c r="A4" i="16"/>
  <c r="A3" i="16"/>
  <c r="B37" i="15"/>
  <c r="B38" i="15" s="1"/>
  <c r="A37" i="15"/>
  <c r="B36" i="15"/>
  <c r="A36" i="15" s="1"/>
  <c r="B35" i="15"/>
  <c r="A35" i="15" s="1"/>
  <c r="A34" i="15"/>
  <c r="A30" i="15"/>
  <c r="A29" i="15"/>
  <c r="A28" i="15"/>
  <c r="A27" i="15"/>
  <c r="A26" i="15"/>
  <c r="B13" i="15"/>
  <c r="B14" i="15" s="1"/>
  <c r="A12" i="15"/>
  <c r="A7" i="15"/>
  <c r="A6" i="15"/>
  <c r="A5" i="15"/>
  <c r="A4" i="15"/>
  <c r="A3" i="15"/>
  <c r="H115" i="14"/>
  <c r="A115" i="14"/>
  <c r="H114" i="14"/>
  <c r="A114" i="14"/>
  <c r="H113" i="14"/>
  <c r="A113" i="14"/>
  <c r="H112" i="14"/>
  <c r="A112" i="14"/>
  <c r="H102" i="14"/>
  <c r="H101" i="14"/>
  <c r="H100" i="14"/>
  <c r="A100" i="14"/>
  <c r="H99" i="14"/>
  <c r="A99" i="14"/>
  <c r="H98" i="14"/>
  <c r="A98" i="14"/>
  <c r="H97" i="14"/>
  <c r="A97" i="14"/>
  <c r="H96" i="14"/>
  <c r="A96" i="14"/>
  <c r="H95" i="14"/>
  <c r="A95" i="14"/>
  <c r="H94" i="14"/>
  <c r="A94" i="14"/>
  <c r="H31" i="14"/>
  <c r="A31" i="14"/>
  <c r="H30" i="14"/>
  <c r="A30" i="14"/>
  <c r="H29" i="14"/>
  <c r="A29" i="14"/>
  <c r="H28" i="14"/>
  <c r="A28" i="14"/>
  <c r="H27" i="14"/>
  <c r="A27" i="14"/>
  <c r="H26" i="14"/>
  <c r="A26" i="14"/>
  <c r="H25" i="14"/>
  <c r="A25" i="14"/>
  <c r="H24" i="14"/>
  <c r="A24" i="14"/>
  <c r="H23" i="14"/>
  <c r="A23" i="14"/>
  <c r="H18" i="14"/>
  <c r="H17" i="14"/>
  <c r="H16" i="14"/>
  <c r="H15" i="14"/>
  <c r="H14" i="14"/>
  <c r="A14" i="14"/>
  <c r="H13" i="14"/>
  <c r="A13" i="14"/>
  <c r="H12" i="14"/>
  <c r="A12" i="14"/>
  <c r="H11" i="14"/>
  <c r="A11" i="14"/>
  <c r="H10" i="14"/>
  <c r="A10" i="14"/>
  <c r="H9" i="14"/>
  <c r="A9" i="14"/>
  <c r="H8" i="14"/>
  <c r="A8" i="14"/>
  <c r="H7" i="14"/>
  <c r="A7" i="14"/>
  <c r="H6" i="14"/>
  <c r="A6" i="14"/>
  <c r="H5" i="14"/>
  <c r="A5" i="14"/>
  <c r="H4" i="14"/>
  <c r="A4" i="14"/>
  <c r="H3" i="14"/>
  <c r="A3" i="14"/>
  <c r="G117" i="13"/>
  <c r="A117" i="13"/>
  <c r="G116" i="13"/>
  <c r="A116" i="13"/>
  <c r="G115" i="13"/>
  <c r="A115" i="13"/>
  <c r="G114" i="13"/>
  <c r="A114" i="13"/>
  <c r="G102" i="13"/>
  <c r="G101" i="13"/>
  <c r="G100" i="13"/>
  <c r="A100" i="13"/>
  <c r="G99" i="13"/>
  <c r="A99" i="13"/>
  <c r="G98" i="13"/>
  <c r="A98" i="13"/>
  <c r="G97" i="13"/>
  <c r="A97" i="13"/>
  <c r="G96" i="13"/>
  <c r="A96" i="13"/>
  <c r="G95" i="13"/>
  <c r="A95" i="13"/>
  <c r="G94" i="13"/>
  <c r="A94" i="13"/>
  <c r="G31" i="13"/>
  <c r="A31" i="13"/>
  <c r="G30" i="13"/>
  <c r="A30" i="13"/>
  <c r="G29" i="13"/>
  <c r="A29" i="13"/>
  <c r="G28" i="13"/>
  <c r="A28" i="13"/>
  <c r="G27" i="13"/>
  <c r="A27" i="13"/>
  <c r="G26" i="13"/>
  <c r="A26" i="13"/>
  <c r="G25" i="13"/>
  <c r="A25" i="13"/>
  <c r="G24" i="13"/>
  <c r="A24" i="13"/>
  <c r="G23" i="13"/>
  <c r="A23" i="13"/>
  <c r="G18" i="13"/>
  <c r="G17" i="13"/>
  <c r="G16" i="13"/>
  <c r="G15" i="13"/>
  <c r="G14" i="13"/>
  <c r="A14" i="13"/>
  <c r="G13" i="13"/>
  <c r="A13" i="13"/>
  <c r="G12" i="13"/>
  <c r="A12" i="13"/>
  <c r="G11" i="13"/>
  <c r="A11" i="13"/>
  <c r="G10" i="13"/>
  <c r="A10" i="13"/>
  <c r="G9" i="13"/>
  <c r="A9" i="13"/>
  <c r="G8" i="13"/>
  <c r="A8" i="13"/>
  <c r="G7" i="13"/>
  <c r="A7" i="13"/>
  <c r="G6" i="13"/>
  <c r="A6" i="13"/>
  <c r="G5" i="13"/>
  <c r="A5" i="13"/>
  <c r="G4" i="13"/>
  <c r="A4" i="13"/>
  <c r="G3" i="13"/>
  <c r="A3" i="13"/>
  <c r="B39" i="19" l="1"/>
  <c r="A39" i="19" s="1"/>
  <c r="A38" i="19"/>
  <c r="A37" i="19"/>
  <c r="A5" i="19"/>
  <c r="A6" i="19"/>
  <c r="A4" i="19"/>
  <c r="B143" i="3"/>
  <c r="A143" i="3" s="1"/>
  <c r="A142" i="3"/>
  <c r="A73" i="3"/>
  <c r="A38" i="15"/>
  <c r="B39" i="15"/>
  <c r="A14" i="15"/>
  <c r="B15" i="15"/>
  <c r="A13" i="15"/>
  <c r="B16" i="15" l="1"/>
  <c r="A15" i="15"/>
  <c r="B40" i="15"/>
  <c r="A39" i="15"/>
  <c r="B41" i="15" l="1"/>
  <c r="A40" i="15"/>
  <c r="B17" i="15"/>
  <c r="A16" i="15"/>
  <c r="B18" i="15" l="1"/>
  <c r="A17" i="15"/>
  <c r="B42" i="15"/>
  <c r="A41" i="15"/>
  <c r="B43" i="15" l="1"/>
  <c r="A43" i="15" s="1"/>
  <c r="A42" i="15"/>
  <c r="B19" i="15"/>
  <c r="A18" i="15"/>
  <c r="B20" i="15" l="1"/>
  <c r="A19" i="15"/>
  <c r="A20" i="15" l="1"/>
  <c r="B21" i="15"/>
  <c r="A21" i="15" s="1"/>
  <c r="A9" i="5" l="1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8" i="5"/>
  <c r="A7" i="5"/>
  <c r="A6" i="5"/>
  <c r="A5" i="5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4" i="3"/>
  <c r="G3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3" i="3"/>
  <c r="A4" i="5" l="1"/>
  <c r="A3" i="5"/>
  <c r="G6" i="3" l="1"/>
  <c r="G5" i="3"/>
  <c r="A35" i="7" l="1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B4" i="3"/>
  <c r="A4" i="3" s="1"/>
  <c r="B5" i="3" l="1"/>
  <c r="A5" i="3" s="1"/>
  <c r="B6" i="3" l="1"/>
  <c r="A6" i="3" s="1"/>
</calcChain>
</file>

<file path=xl/sharedStrings.xml><?xml version="1.0" encoding="utf-8"?>
<sst xmlns="http://schemas.openxmlformats.org/spreadsheetml/2006/main" count="3888" uniqueCount="1032">
  <si>
    <t xml:space="preserve"> Table Name</t>
  </si>
  <si>
    <t>Offset</t>
  </si>
  <si>
    <t>Element size</t>
    <phoneticPr fontId="7" type="noConversion"/>
  </si>
  <si>
    <t xml:space="preserve">FT_Analog_Inputs    </t>
  </si>
  <si>
    <t>FT_Analog_Inputs_Max</t>
    <phoneticPr fontId="10" type="noConversion"/>
  </si>
  <si>
    <t>FT_Analog_Inputs_Min</t>
  </si>
  <si>
    <t xml:space="preserve">FT_Ana_In_Counts  </t>
    <phoneticPr fontId="7" type="noConversion"/>
  </si>
  <si>
    <t>0C</t>
  </si>
  <si>
    <t xml:space="preserve">FT_Ana_In_Counts_Max </t>
  </si>
  <si>
    <t>FT_Ana_In_Counts _Min</t>
  </si>
  <si>
    <t>FT_Discrete_Inputs</t>
  </si>
  <si>
    <t>1C</t>
  </si>
  <si>
    <t>FT_Pulse_Inputs</t>
  </si>
  <si>
    <t>Frequency(High 2 bytes), Duty Cycle(Lowest 2 byte)</t>
    <phoneticPr fontId="7" type="noConversion"/>
  </si>
  <si>
    <t>FT_Pulse_Inputs_Min</t>
  </si>
  <si>
    <t>FT_Phase_Temp_Inputs</t>
    <phoneticPr fontId="7" type="noConversion"/>
  </si>
  <si>
    <t>FT_Phase_Temp_Inputs_Max</t>
    <phoneticPr fontId="7" type="noConversion"/>
  </si>
  <si>
    <t>FT_Phase_Temp_Inputs_Min</t>
    <phoneticPr fontId="10" type="noConversion"/>
  </si>
  <si>
    <t>FT_Re_Init_Min_Max_Tables_Flag</t>
  </si>
  <si>
    <t>bool</t>
    <phoneticPr fontId="10" type="noConversion"/>
  </si>
  <si>
    <t>unsigned char</t>
    <phoneticPr fontId="7" type="noConversion"/>
  </si>
  <si>
    <t xml:space="preserve">FT_Enables          </t>
  </si>
  <si>
    <t>3C</t>
  </si>
  <si>
    <t>2x2</t>
  </si>
  <si>
    <t>table</t>
  </si>
  <si>
    <t>FT_Mode_N</t>
  </si>
  <si>
    <t>4C</t>
  </si>
  <si>
    <t>FT_Requested_Mode</t>
  </si>
  <si>
    <t>FT_Code_Version</t>
  </si>
  <si>
    <t>FT_Main_SW_Version</t>
  </si>
  <si>
    <t>FT_Hardware_Version</t>
  </si>
  <si>
    <t>5C</t>
  </si>
  <si>
    <t>FT_Variant_ID</t>
  </si>
  <si>
    <t>FT_Ecu_Type</t>
  </si>
  <si>
    <t>table</t>
    <phoneticPr fontId="7" type="noConversion"/>
  </si>
  <si>
    <t>6C</t>
    <phoneticPr fontId="10" type="noConversion"/>
  </si>
  <si>
    <t>7C</t>
    <phoneticPr fontId="10" type="noConversion"/>
  </si>
  <si>
    <t>table</t>
    <phoneticPr fontId="10" type="noConversion"/>
  </si>
  <si>
    <t>8C</t>
    <phoneticPr fontId="10" type="noConversion"/>
  </si>
  <si>
    <t>FT_Diag</t>
    <phoneticPr fontId="7" type="noConversion"/>
  </si>
  <si>
    <t>9C</t>
    <phoneticPr fontId="10" type="noConversion"/>
  </si>
  <si>
    <t>FT_MPI_Pointer</t>
    <phoneticPr fontId="10" type="noConversion"/>
  </si>
  <si>
    <t>A0</t>
    <phoneticPr fontId="10" type="noConversion"/>
  </si>
  <si>
    <t>pointer</t>
    <phoneticPr fontId="10" type="noConversion"/>
  </si>
  <si>
    <t>&lt;&lt;&lt; this is a pointer to a pointer, so once the offset is added to the start of the address table, the request from this address will provide the pointer address</t>
  </si>
  <si>
    <t>FT_Write_MPI_to_Flash</t>
    <phoneticPr fontId="10" type="noConversion"/>
  </si>
  <si>
    <t>A4</t>
    <phoneticPr fontId="10" type="noConversion"/>
  </si>
  <si>
    <t>function</t>
    <phoneticPr fontId="10" type="noConversion"/>
  </si>
  <si>
    <t>A8</t>
    <phoneticPr fontId="10" type="noConversion"/>
  </si>
  <si>
    <t>FT_Internal_CAN_Bus_test</t>
    <phoneticPr fontId="7" type="noConversion"/>
  </si>
  <si>
    <t>AC</t>
  </si>
  <si>
    <t>function</t>
  </si>
  <si>
    <t xml:space="preserve">internal CAN signal </t>
    <phoneticPr fontId="7" type="noConversion"/>
  </si>
  <si>
    <t>FT_Freq_Inputs</t>
    <phoneticPr fontId="7" type="noConversion"/>
  </si>
  <si>
    <t>FT_Freq_Inputs_Max</t>
    <phoneticPr fontId="7" type="noConversion"/>
  </si>
  <si>
    <t>B4</t>
  </si>
  <si>
    <t>FT_Freq_Inputs_Min</t>
    <phoneticPr fontId="7" type="noConversion"/>
  </si>
  <si>
    <t>B8</t>
  </si>
  <si>
    <t>FT_TM_Expected_Load</t>
  </si>
  <si>
    <t>BC</t>
  </si>
  <si>
    <t>FT_GM_Expected_Load</t>
  </si>
  <si>
    <t>C0</t>
  </si>
  <si>
    <t>PIC Result Table</t>
    <phoneticPr fontId="7" type="noConversion"/>
  </si>
  <si>
    <t>C4</t>
  </si>
  <si>
    <t>PIC Control Table</t>
    <phoneticPr fontId="7" type="noConversion"/>
  </si>
  <si>
    <t>C8</t>
  </si>
  <si>
    <t>FTCAN_Loopback_test</t>
    <phoneticPr fontId="7" type="noConversion"/>
  </si>
  <si>
    <t>CC</t>
  </si>
  <si>
    <t>function</t>
    <phoneticPr fontId="7" type="noConversion"/>
  </si>
  <si>
    <t>Element Size:  A number means the data is that size in bytes.  "table" indicates the entry is defined on another sheet of this document</t>
    <phoneticPr fontId="7" type="noConversion"/>
  </si>
  <si>
    <t>D4</t>
  </si>
  <si>
    <t>D8</t>
  </si>
  <si>
    <t>FT_Analog_Inputs,0</t>
    <phoneticPr fontId="7" type="noConversion"/>
  </si>
  <si>
    <t>FT_Ana_In_Counts,0C</t>
    <phoneticPr fontId="7" type="noConversion"/>
  </si>
  <si>
    <t>Offset_HEX</t>
  </si>
  <si>
    <t>Offset_DEC</t>
  </si>
  <si>
    <t>Name(base)</t>
    <phoneticPr fontId="10" type="noConversion"/>
  </si>
  <si>
    <t>Port name</t>
  </si>
  <si>
    <t>Format</t>
  </si>
  <si>
    <t>Name</t>
    <phoneticPr fontId="10" type="noConversion"/>
  </si>
  <si>
    <t>INVTRB_PHAOCFLT^</t>
  </si>
  <si>
    <t>P21.2</t>
  </si>
  <si>
    <t>float</t>
  </si>
  <si>
    <t>P00.1</t>
  </si>
  <si>
    <t>INVTRB_PHBOCFLT^</t>
  </si>
  <si>
    <t>P13.0</t>
  </si>
  <si>
    <t>P00.2</t>
  </si>
  <si>
    <t>INVTRA_MASTER_FLT^</t>
  </si>
  <si>
    <t>P11.0</t>
  </si>
  <si>
    <t>10</t>
  </si>
  <si>
    <t>INVTRA_BUF1_FW_FB</t>
  </si>
  <si>
    <t>P10.4</t>
  </si>
  <si>
    <t>14</t>
  </si>
  <si>
    <t>INVTRA_DSATUP^</t>
  </si>
  <si>
    <t>P02.0</t>
  </si>
  <si>
    <t>18</t>
  </si>
  <si>
    <t>INVTRB_PHCOCFLT^</t>
  </si>
  <si>
    <t>P34.5</t>
  </si>
  <si>
    <t>20</t>
  </si>
  <si>
    <t>INVTRB_DSATUP^</t>
  </si>
  <si>
    <t>P23.5</t>
  </si>
  <si>
    <t>5V_SAFETY_AI</t>
  </si>
  <si>
    <t>24</t>
  </si>
  <si>
    <t>28</t>
  </si>
  <si>
    <t>INVTRB_UVUP_FLT^F</t>
  </si>
  <si>
    <t>P14.8</t>
  </si>
  <si>
    <t>P33.0</t>
  </si>
  <si>
    <t>RESA_SINLO_OC_VI</t>
  </si>
  <si>
    <t>INVTRA_BUF2_ASC_LO_FB</t>
  </si>
  <si>
    <t>P20.9</t>
  </si>
  <si>
    <t>P33.1</t>
  </si>
  <si>
    <t>RESA_COSLO_OC_VI</t>
  </si>
  <si>
    <t>30</t>
  </si>
  <si>
    <t>P33.3</t>
  </si>
  <si>
    <t>34</t>
  </si>
  <si>
    <t>OV_FLT^</t>
  </si>
  <si>
    <t>P15.5</t>
  </si>
  <si>
    <t>P33.4</t>
  </si>
  <si>
    <t>38</t>
  </si>
  <si>
    <t>INVTRA_UVUP_FLT^F</t>
  </si>
  <si>
    <t>P14.10</t>
  </si>
  <si>
    <t>P33.5</t>
  </si>
  <si>
    <t>RED_INVTRA_IOUTC_CURRENT_AI</t>
  </si>
  <si>
    <t>INVTRB_DSATLO^</t>
  </si>
  <si>
    <t>P15.6</t>
  </si>
  <si>
    <t>40</t>
  </si>
  <si>
    <t>INVTRA_PHBOCFLT^</t>
  </si>
  <si>
    <t>P21.4</t>
  </si>
  <si>
    <t>P34.3</t>
  </si>
  <si>
    <t>44</t>
  </si>
  <si>
    <t>P34.4</t>
  </si>
  <si>
    <t>48</t>
  </si>
  <si>
    <t>INVTRA_SHUTOFF_FB</t>
  </si>
  <si>
    <t>AN32/P40.4</t>
  </si>
  <si>
    <t>AN2</t>
  </si>
  <si>
    <t>INVTRA_IOUTA_CURRENT_AI</t>
  </si>
  <si>
    <t>INVTRB_MASTER_FLT^</t>
  </si>
  <si>
    <t>P20.10</t>
  </si>
  <si>
    <t>AN3</t>
  </si>
  <si>
    <t>RESA_COSHI_OC_VI</t>
  </si>
  <si>
    <t>50</t>
  </si>
  <si>
    <t>INVTRB_BUF1_FW_FB</t>
  </si>
  <si>
    <t>P00.12</t>
  </si>
  <si>
    <t>AN4</t>
  </si>
  <si>
    <t>RESA_SINHI_OC_VI</t>
  </si>
  <si>
    <t>54</t>
  </si>
  <si>
    <t>INVTRB_BUF2_ASC_LO_FB</t>
  </si>
  <si>
    <t>P34.1</t>
  </si>
  <si>
    <t>AN5</t>
  </si>
  <si>
    <t>ADC_TEST_AI</t>
  </si>
  <si>
    <t>58</t>
  </si>
  <si>
    <t>INVTRB_BUF3_ASC_HI_FB</t>
  </si>
  <si>
    <t>AN9</t>
  </si>
  <si>
    <t>INVTRB_SHUTOFF_FB</t>
  </si>
  <si>
    <t>P22.0</t>
  </si>
  <si>
    <t>AN10</t>
  </si>
  <si>
    <t>INVTRA_IOUTC_CURRENT_AI</t>
  </si>
  <si>
    <t>60</t>
  </si>
  <si>
    <t>INVTRA_UVLO_FLT^F</t>
  </si>
  <si>
    <t>P32.6</t>
  </si>
  <si>
    <t>AN11</t>
  </si>
  <si>
    <t>RESA_EXC-_DIAG_AI</t>
  </si>
  <si>
    <t>64</t>
  </si>
  <si>
    <t>INVTRA_PHAOCFLT^</t>
  </si>
  <si>
    <t>P32.2</t>
  </si>
  <si>
    <t>AN12</t>
  </si>
  <si>
    <t>RESA_COSHI_DS</t>
  </si>
  <si>
    <t>68</t>
  </si>
  <si>
    <t>INVTRB_UVLO_FLT^F</t>
  </si>
  <si>
    <t>P32.3</t>
  </si>
  <si>
    <t>AN13</t>
  </si>
  <si>
    <t>RESA_COSLO_DS</t>
  </si>
  <si>
    <t>HVDC_OV_FLT^</t>
  </si>
  <si>
    <t>P23.7</t>
  </si>
  <si>
    <t>AN14</t>
  </si>
  <si>
    <t>RED_RESA_COSHI_DS</t>
  </si>
  <si>
    <t>70</t>
  </si>
  <si>
    <t>INVTRA_PHCOCFLT^</t>
  </si>
  <si>
    <t>P22.4</t>
  </si>
  <si>
    <t>AN15</t>
  </si>
  <si>
    <t>RED_RESA_COSLO_DS</t>
  </si>
  <si>
    <t>74</t>
  </si>
  <si>
    <t>INVTRA_BUF3_ASC_HI_FB</t>
  </si>
  <si>
    <t>P22.10</t>
  </si>
  <si>
    <t>AN18/P40.11</t>
  </si>
  <si>
    <t>78</t>
  </si>
  <si>
    <t>INVTRA_DSATLO^</t>
  </si>
  <si>
    <t>P20.3</t>
  </si>
  <si>
    <t>AN19/P40.12</t>
  </si>
  <si>
    <t>RESA_EXC+_DIAG_AI</t>
  </si>
  <si>
    <t>AN20</t>
  </si>
  <si>
    <t>RESA_SINHI_DS</t>
  </si>
  <si>
    <t>AN21</t>
  </si>
  <si>
    <t>RESA_SINLO_DS</t>
  </si>
  <si>
    <t>AN22</t>
  </si>
  <si>
    <t>15V_AI</t>
  </si>
  <si>
    <t>AN26/P40.2</t>
  </si>
  <si>
    <t>AN28/P40.13</t>
  </si>
  <si>
    <t>AN29/P40.14</t>
  </si>
  <si>
    <t>AN30</t>
  </si>
  <si>
    <t>AN31</t>
  </si>
  <si>
    <t>COOLANT_IN_TEMP_AI</t>
  </si>
  <si>
    <t>AN33/P40.5</t>
  </si>
  <si>
    <t>AN34</t>
  </si>
  <si>
    <t>RED_INVTRA_IOUTA_CURRENT_AI</t>
  </si>
  <si>
    <t>AN35</t>
  </si>
  <si>
    <t>RED_INVTRB_IOUTA_CURRENT_AI</t>
  </si>
  <si>
    <t>AN36/P40.6</t>
  </si>
  <si>
    <t>AN41</t>
  </si>
  <si>
    <t>VMUX_OUT_AI</t>
  </si>
  <si>
    <t>AN44</t>
  </si>
  <si>
    <t>RED_RESA_SINHI_DS</t>
  </si>
  <si>
    <t>AN45</t>
  </si>
  <si>
    <t>RED_RESA_SINLO_DS</t>
  </si>
  <si>
    <t>RESB_EXC-_DIAG_AI</t>
  </si>
  <si>
    <t>RESB_COSLO_OC_VI</t>
  </si>
  <si>
    <t>RESB_COSHI_OC_VI</t>
  </si>
  <si>
    <t>INVTRB_IOUTA_CURRENT_AI</t>
  </si>
  <si>
    <t>RESB_SINHI_DS</t>
  </si>
  <si>
    <t>RESB_SINLO_DS</t>
  </si>
  <si>
    <t>RESB_EXC+_DIAG_AI</t>
  </si>
  <si>
    <t>RESB_SINLO_OC_VI</t>
  </si>
  <si>
    <t>RESB_SINHI_OC_VI</t>
  </si>
  <si>
    <t>INVTRB_IOUTB_CURRENT_AI</t>
  </si>
  <si>
    <t>RESB_COSHI_DS</t>
  </si>
  <si>
    <t>RESB_COSLO_DS</t>
  </si>
  <si>
    <t>INVTRB_IOUTC_CURRENT_AI</t>
  </si>
  <si>
    <t>RED_RESB_SINHI_DS</t>
  </si>
  <si>
    <t>RED_RESB_SINLO_DS</t>
  </si>
  <si>
    <t>RED_RESB_COSHI_DS</t>
  </si>
  <si>
    <t>RED_RESB_COSLO_DS</t>
  </si>
  <si>
    <t>float</t>
    <phoneticPr fontId="7" type="noConversion"/>
  </si>
  <si>
    <t>Name</t>
  </si>
  <si>
    <t>FT_Freq_Inputs_Min, C8</t>
    <phoneticPr fontId="7" type="noConversion"/>
  </si>
  <si>
    <t>FT_Freq_Inputs_Max,C4</t>
    <phoneticPr fontId="7" type="noConversion"/>
  </si>
  <si>
    <t>FT_Freq_Inputs,B0</t>
    <phoneticPr fontId="7" type="noConversion"/>
  </si>
  <si>
    <t>Unit16</t>
    <phoneticPr fontId="7" type="noConversion"/>
  </si>
  <si>
    <t>INVTRB_PH_CU_TEMP_PI</t>
  </si>
  <si>
    <t>INVTRB_PH_CL_TEMP_PI</t>
  </si>
  <si>
    <t>INVTRB_PH_BU_TEMP_PI</t>
  </si>
  <si>
    <t>INVTRB_PH_BL_TEMP_PI</t>
  </si>
  <si>
    <t>INVTRB_PH_AU_TEMP_PI</t>
  </si>
  <si>
    <t>INVTRB_PH_AL_TEMP_PI</t>
  </si>
  <si>
    <t>INVTRA_PH_CU_TEMP_PI</t>
  </si>
  <si>
    <t>INVTRA_PH_CL_TEMP_PI</t>
  </si>
  <si>
    <t>INVTRA_PH_BL_TEMP_PI</t>
  </si>
  <si>
    <t>INVTRA_PH_AU_TEMP_PI</t>
  </si>
  <si>
    <t>INVTRA_PH_AL_TEMP_PI</t>
  </si>
  <si>
    <t>FT_Pulse_Inputs,20</t>
    <phoneticPr fontId="7" type="noConversion"/>
  </si>
  <si>
    <t>FT_Discrete_Inputs,18</t>
    <phoneticPr fontId="24" type="noConversion"/>
  </si>
  <si>
    <t>FT_Discrete_Inputs_Transition,1C</t>
    <phoneticPr fontId="24" type="noConversion"/>
  </si>
  <si>
    <t>6</t>
  </si>
  <si>
    <t>8</t>
  </si>
  <si>
    <t>12</t>
  </si>
  <si>
    <t>16</t>
  </si>
  <si>
    <t>FT_Enables,3C</t>
    <phoneticPr fontId="24" type="noConversion"/>
  </si>
  <si>
    <t>15VSEPIC_DIS</t>
  </si>
  <si>
    <t>P11.15</t>
  </si>
  <si>
    <t>INVTRA_ACT_SC^</t>
  </si>
  <si>
    <t>P20.0</t>
  </si>
  <si>
    <t>P02.3</t>
  </si>
  <si>
    <t>INVTRA_ACT_SC_SEL^</t>
  </si>
  <si>
    <t>P11.12</t>
  </si>
  <si>
    <t>INVTRA_ENSW</t>
  </si>
  <si>
    <t>P14.7</t>
  </si>
  <si>
    <t>INVTRA_FLT_RST_OC</t>
  </si>
  <si>
    <t>P22.11</t>
  </si>
  <si>
    <t>Low</t>
  </si>
  <si>
    <t>INVTRA_FLTOVRD_OC</t>
  </si>
  <si>
    <t>P23.6</t>
  </si>
  <si>
    <t>INVTRA_FLTOVRD_OV</t>
  </si>
  <si>
    <t>P32.5</t>
  </si>
  <si>
    <t>INVTRA_FLTRST_OV</t>
  </si>
  <si>
    <t>P10.7</t>
  </si>
  <si>
    <t>P13.2</t>
  </si>
  <si>
    <t>PWR_HOLD_ON</t>
  </si>
  <si>
    <t>High</t>
  </si>
  <si>
    <t>INVTRA_FLTRST_UVLO</t>
  </si>
  <si>
    <t>P32.7</t>
  </si>
  <si>
    <t>INVTRA_FLTRST_UVUP</t>
  </si>
  <si>
    <t>P22.8</t>
  </si>
  <si>
    <t>INVTRA_L3_ASC_TEST</t>
  </si>
  <si>
    <t>P33.9</t>
  </si>
  <si>
    <t>P14.0</t>
  </si>
  <si>
    <t>INVTRA_MTR_DIS^</t>
  </si>
  <si>
    <t>P20.1</t>
  </si>
  <si>
    <t>INVTRA_MTRATEMP1_EN</t>
  </si>
  <si>
    <t>INVTRA_MTRATEMP1_RTN_EN</t>
  </si>
  <si>
    <t>P21.5</t>
  </si>
  <si>
    <t>INVTRA_MTRATEMP2_EN</t>
  </si>
  <si>
    <t>P14.6</t>
  </si>
  <si>
    <t>INVTRA_MTRATEMP2_RTN_EN</t>
  </si>
  <si>
    <t>P22.7</t>
  </si>
  <si>
    <t>INVTRA_TRQ_SCRTY_DIS^</t>
  </si>
  <si>
    <t>P13.3</t>
  </si>
  <si>
    <t>INVTRB_ACT_SC^</t>
  </si>
  <si>
    <t>P10.0</t>
  </si>
  <si>
    <t>INVTRB_ACT_SC_SEL^</t>
  </si>
  <si>
    <t>INVTRB_ENSW</t>
  </si>
  <si>
    <t>INVTRB_FLT_RST_OC</t>
  </si>
  <si>
    <t>INVTRB_FLTOVRD_OC</t>
  </si>
  <si>
    <t>P00.6</t>
  </si>
  <si>
    <t>INVTRB_FLTRST_UVLO</t>
  </si>
  <si>
    <t>P21.0</t>
  </si>
  <si>
    <t>INVTRB_FLTRST_UVUP</t>
  </si>
  <si>
    <t>P11.1</t>
  </si>
  <si>
    <t>INVTRB_L3_ASC_TEST</t>
  </si>
  <si>
    <t>P33.14</t>
  </si>
  <si>
    <t>INVTRB_MTR_DIS^</t>
  </si>
  <si>
    <t>P34.2</t>
  </si>
  <si>
    <t>INVTRB_MTRATEMP1_EN</t>
  </si>
  <si>
    <t>P02.2</t>
  </si>
  <si>
    <t>INVTRB_MTRATEMP1_RTN_EN</t>
  </si>
  <si>
    <t>P11.2</t>
  </si>
  <si>
    <t>INVTRB_MTRATEMP2_EN</t>
  </si>
  <si>
    <t>P02.7</t>
  </si>
  <si>
    <t>INVTRB_MTRATEMP2_RTN_EN</t>
  </si>
  <si>
    <t>P11.14</t>
  </si>
  <si>
    <t>INVTRB_TRQ_SCRTY_DIS^</t>
  </si>
  <si>
    <t>P22.3</t>
  </si>
  <si>
    <t>L3_FS_SAFESTATE</t>
  </si>
  <si>
    <t>P33.8</t>
  </si>
  <si>
    <t>15V_SAFETY_AI</t>
  </si>
  <si>
    <t>5V_LV_UP_AI</t>
  </si>
  <si>
    <t>COOLANT_OUT_TEMP_AI</t>
  </si>
  <si>
    <t>HVDC_SENSE_AI</t>
  </si>
  <si>
    <t>HWID_AI</t>
  </si>
  <si>
    <t>INVTRA_18V_HV_AI</t>
  </si>
  <si>
    <t>INVTRA_IOUTB_CURRENT_AI</t>
  </si>
  <si>
    <t>INVTRA_MTRATEMP1_AI</t>
  </si>
  <si>
    <t>INVTRA_MTRATEMP1_RTN_AI</t>
  </si>
  <si>
    <t>INVTRA_MTRATEMP2_AI</t>
  </si>
  <si>
    <t>INVTRA_MTRATEMP2_RTN_AI</t>
  </si>
  <si>
    <t>INVTRB_MTRATEMP1_AI</t>
  </si>
  <si>
    <t>INVTRB_MTRATEMP1_RTN_AI</t>
  </si>
  <si>
    <t>INVTRB_MTRATEMP2_AI</t>
  </si>
  <si>
    <t>INVTRB_MTRATEMP2_RTN_AI</t>
  </si>
  <si>
    <t>KL15_AI</t>
  </si>
  <si>
    <t>RED_INVTRA_IOUTB_CURRENT_AI</t>
  </si>
  <si>
    <t>RED_INVTRB_IOUTB_CURRENT_AI</t>
  </si>
  <si>
    <t>RED_INVTRB_IOUTC_CURRENT_AI</t>
  </si>
  <si>
    <t>SCALED_VBATT_AI</t>
  </si>
  <si>
    <t>VID_AI</t>
  </si>
  <si>
    <t>BOARD_TEMP_AI</t>
  </si>
  <si>
    <t>AN40</t>
  </si>
  <si>
    <t>P01.4</t>
  </si>
  <si>
    <t>AN37/P40.7</t>
  </si>
  <si>
    <t>P01.3</t>
  </si>
  <si>
    <t>AN43</t>
  </si>
  <si>
    <t>AN6</t>
  </si>
  <si>
    <t>AN24/P40.0</t>
  </si>
  <si>
    <t>AN46</t>
  </si>
  <si>
    <t>AN17/P40.10</t>
  </si>
  <si>
    <t>AN25/P40.1</t>
  </si>
  <si>
    <t>AN8</t>
  </si>
  <si>
    <t>AN39/P40.9</t>
  </si>
  <si>
    <t>AN47</t>
  </si>
  <si>
    <t>AN16</t>
  </si>
  <si>
    <t>P00.10</t>
  </si>
  <si>
    <t>P00.11</t>
  </si>
  <si>
    <t>P33.6</t>
  </si>
  <si>
    <t>AN7</t>
  </si>
  <si>
    <t>P00.9</t>
  </si>
  <si>
    <t>P33.2</t>
  </si>
  <si>
    <t>P00.8</t>
  </si>
  <si>
    <t>AN42</t>
  </si>
  <si>
    <t>P00.7</t>
  </si>
  <si>
    <t>AN23</t>
  </si>
  <si>
    <t>AN1</t>
  </si>
  <si>
    <t>AN0</t>
  </si>
  <si>
    <t>P00.3</t>
  </si>
  <si>
    <t>AN27/P40.3</t>
  </si>
  <si>
    <t>AN38/P40.8</t>
  </si>
  <si>
    <t>FT_Motor_Control_Data_TM1</t>
    <phoneticPr fontId="3" type="noConversion"/>
  </si>
  <si>
    <t>FT_Motor_Status_Data_TM1</t>
    <phoneticPr fontId="10" type="noConversion"/>
  </si>
  <si>
    <t>FT_Motor_Gain_Settings_TM1</t>
    <phoneticPr fontId="3" type="noConversion"/>
  </si>
  <si>
    <t>FT_Motor_Limits_TM1</t>
    <phoneticPr fontId="3" type="noConversion"/>
  </si>
  <si>
    <t>FT_Current_Sense_Test_Cmd_Data_TM1</t>
    <phoneticPr fontId="3" type="noConversion"/>
  </si>
  <si>
    <t>FT_Current_Sense_Test_Result_Data_TM1</t>
    <phoneticPr fontId="7" type="noConversion"/>
  </si>
  <si>
    <t>FT_Motor_Control_Data_TM2</t>
    <phoneticPr fontId="3" type="noConversion"/>
  </si>
  <si>
    <t>FT_Motor_Status_Data_TM2</t>
  </si>
  <si>
    <t>FT_Motor_Gain_Settings_TM2</t>
  </si>
  <si>
    <t>FT_Motor_Limits_TM2</t>
  </si>
  <si>
    <t>FT_Current_Sense_Test_Cmd_Data_TM2</t>
  </si>
  <si>
    <t>FT_Current_Sense_Test_Result_Data_TM2</t>
  </si>
  <si>
    <t>FT_AUTO_PWM_Control_Data_TM1</t>
    <phoneticPr fontId="3" type="noConversion"/>
  </si>
  <si>
    <t>FT_AUTO_PWM_Control_Data_TM2</t>
    <phoneticPr fontId="7" type="noConversion"/>
  </si>
  <si>
    <t>unsigned char</t>
  </si>
  <si>
    <t>RED_RESB_COSHI_DS</t>
    <phoneticPr fontId="3" type="noConversion"/>
  </si>
  <si>
    <t>uint16</t>
  </si>
  <si>
    <t>uint32</t>
  </si>
  <si>
    <t>FT_Freq_Inputs_Max,B4</t>
    <phoneticPr fontId="7" type="noConversion"/>
  </si>
  <si>
    <t>FT_Freq_Inputs_Min, B8</t>
    <phoneticPr fontId="7" type="noConversion"/>
  </si>
  <si>
    <t>FT_Pulse_Output,40</t>
    <phoneticPr fontId="7" type="noConversion"/>
  </si>
  <si>
    <t>Offset_HEX</t>
    <phoneticPr fontId="32" type="noConversion"/>
  </si>
  <si>
    <t>Format</t>
    <phoneticPr fontId="33" type="noConversion"/>
  </si>
  <si>
    <t>Comments</t>
    <phoneticPr fontId="32" type="noConversion"/>
  </si>
  <si>
    <t>unit8</t>
    <phoneticPr fontId="33" type="noConversion"/>
  </si>
  <si>
    <t>offset_HEX</t>
    <phoneticPr fontId="33" type="noConversion"/>
  </si>
  <si>
    <t>offset_DEC</t>
    <phoneticPr fontId="33" type="noConversion"/>
  </si>
  <si>
    <t>name</t>
    <phoneticPr fontId="33" type="noConversion"/>
  </si>
  <si>
    <t>Definition</t>
    <phoneticPr fontId="33" type="noConversion"/>
  </si>
  <si>
    <t>ft_runin_frequency</t>
    <phoneticPr fontId="33" type="noConversion"/>
  </si>
  <si>
    <t>uint16</t>
    <phoneticPr fontId="33" type="noConversion"/>
  </si>
  <si>
    <t>PWM frequency Hz</t>
    <phoneticPr fontId="33" type="noConversion"/>
  </si>
  <si>
    <t>ft_runin_max_phase_temp</t>
    <phoneticPr fontId="33" type="noConversion"/>
  </si>
  <si>
    <t>float32</t>
    <phoneticPr fontId="33" type="noConversion"/>
  </si>
  <si>
    <t>max protection temperature Deg C</t>
    <phoneticPr fontId="33" type="noConversion"/>
  </si>
  <si>
    <t>ft_activate_runin_sequence</t>
    <phoneticPr fontId="33" type="noConversion"/>
  </si>
  <si>
    <t>uint8</t>
    <phoneticPr fontId="33" type="noConversion"/>
  </si>
  <si>
    <t>uint8 0-deactivate,1-activate</t>
    <phoneticPr fontId="33" type="noConversion"/>
  </si>
  <si>
    <t>ft_runin_new_data</t>
    <phoneticPr fontId="33" type="noConversion"/>
  </si>
  <si>
    <t>Uint8 255-Update Set value and start test,0-Otherwise</t>
    <phoneticPr fontId="33" type="noConversion"/>
  </si>
  <si>
    <t>Variable Type</t>
    <phoneticPr fontId="33" type="noConversion"/>
  </si>
  <si>
    <t>1-byte enum representing 
runin status</t>
    <phoneticPr fontId="33" type="noConversion"/>
  </si>
  <si>
    <t>0- FT_RUNIN_IDLE</t>
    <phoneticPr fontId="33" type="noConversion"/>
  </si>
  <si>
    <t>1- FT_RUNIN_RUNNING</t>
    <phoneticPr fontId="33" type="noConversion"/>
  </si>
  <si>
    <t>2_ FT_RUNIN_SEQ_ERROR_OVERTEMP</t>
    <phoneticPr fontId="33" type="noConversion"/>
  </si>
  <si>
    <t>3_ FT_RUNIN_SEQ_ERROR_INVALID_FREQ</t>
    <phoneticPr fontId="33" type="noConversion"/>
  </si>
  <si>
    <t>FT_Motor_Control_Data,6C</t>
  </si>
  <si>
    <t>Comments</t>
  </si>
  <si>
    <r>
      <t xml:space="preserve">Iqs_Start  </t>
    </r>
    <r>
      <rPr>
        <sz val="10"/>
        <color theme="1"/>
        <rFont val="等线"/>
        <family val="2"/>
        <scheme val="minor"/>
      </rPr>
      <t>(peak Amps)</t>
    </r>
  </si>
  <si>
    <t>Iqs start curent peak value</t>
  </si>
  <si>
    <r>
      <t xml:space="preserve">Iqs_End  </t>
    </r>
    <r>
      <rPr>
        <sz val="10"/>
        <color theme="1"/>
        <rFont val="等线"/>
        <family val="2"/>
        <scheme val="minor"/>
      </rPr>
      <t>(peak Amps)</t>
    </r>
  </si>
  <si>
    <t>Iqs target curent peak value</t>
  </si>
  <si>
    <r>
      <t xml:space="preserve">Iqs_Step  </t>
    </r>
    <r>
      <rPr>
        <sz val="10"/>
        <color theme="1"/>
        <rFont val="等线"/>
        <family val="2"/>
        <scheme val="minor"/>
      </rPr>
      <t>(peak Amps)</t>
    </r>
    <phoneticPr fontId="7" type="noConversion"/>
  </si>
  <si>
    <r>
      <t xml:space="preserve">Iqs_Step  </t>
    </r>
    <r>
      <rPr>
        <sz val="10"/>
        <color theme="1"/>
        <rFont val="等线"/>
        <family val="2"/>
        <scheme val="minor"/>
      </rPr>
      <t>(peak Amps)</t>
    </r>
  </si>
  <si>
    <t>Iqs rise or decay current peak value per step</t>
  </si>
  <si>
    <r>
      <t xml:space="preserve">Ramp_Time_MS  </t>
    </r>
    <r>
      <rPr>
        <b/>
        <sz val="10"/>
        <color rgb="FFFF0000"/>
        <rFont val="等线"/>
        <family val="3"/>
        <charset val="134"/>
        <scheme val="minor"/>
      </rPr>
      <t>(ms)</t>
    </r>
    <phoneticPr fontId="7" type="noConversion"/>
  </si>
  <si>
    <r>
      <t xml:space="preserve">Max Value Hold Time </t>
    </r>
    <r>
      <rPr>
        <sz val="10"/>
        <rFont val="Arial"/>
        <family val="2"/>
      </rPr>
      <t>(Sec)</t>
    </r>
    <phoneticPr fontId="7" type="noConversion"/>
  </si>
  <si>
    <t>4 byte - float</t>
    <phoneticPr fontId="7" type="noConversion"/>
  </si>
  <si>
    <t xml:space="preserve">Hold_Time_S (Sec) </t>
  </si>
  <si>
    <r>
      <t xml:space="preserve">Output Frequency </t>
    </r>
    <r>
      <rPr>
        <sz val="10"/>
        <color indexed="8"/>
        <rFont val="Arial"/>
        <family val="2"/>
      </rPr>
      <t xml:space="preserve">(Hz) </t>
    </r>
    <phoneticPr fontId="7" type="noConversion"/>
  </si>
  <si>
    <t>The output phase current frequency if inverter work in the inductor load type condition</t>
  </si>
  <si>
    <t>Output_Frequency(Hz)</t>
  </si>
  <si>
    <r>
      <t>Motor Control Test Mode</t>
    </r>
    <r>
      <rPr>
        <sz val="10"/>
        <color indexed="8"/>
        <rFont val="Arial"/>
        <family val="2"/>
      </rPr>
      <t xml:space="preserve"> </t>
    </r>
    <phoneticPr fontId="7" type="noConversion"/>
  </si>
  <si>
    <t>uint8</t>
    <phoneticPr fontId="7" type="noConversion"/>
  </si>
  <si>
    <t xml:space="preserve">   MOTOR_CONTROL_DEFAULT = 0,
   MOTOR_CONTROL_OPEN_LOOP = 1,
   MOTOR_CONTROL_CURRENT_LOOP = 2,
   MOTOR_CONTROL_OPEN_LOOP_SEQUENCE = 3,
   MOTOR_CONTROL_CURRENT_LOOP_SEQUENCE = 4</t>
    <phoneticPr fontId="7" type="noConversion"/>
  </si>
  <si>
    <t>Mode</t>
  </si>
  <si>
    <t>int16</t>
  </si>
  <si>
    <t>0: Motor control default
1: Motor control open loop
2: Motor control current loop
3: Motor control open loop sequence
4: Motor control current loop sequence</t>
    <phoneticPr fontId="7" type="noConversion"/>
  </si>
  <si>
    <t>unused</t>
    <phoneticPr fontId="7" type="noConversion"/>
  </si>
  <si>
    <t>int8</t>
    <phoneticPr fontId="7" type="noConversion"/>
  </si>
  <si>
    <t xml:space="preserve">Base_Freq(Hz) </t>
  </si>
  <si>
    <r>
      <t xml:space="preserve">On/Off Ramp Time </t>
    </r>
    <r>
      <rPr>
        <sz val="10"/>
        <color indexed="8"/>
        <rFont val="Arial"/>
        <family val="2"/>
      </rPr>
      <t>(mS)</t>
    </r>
    <phoneticPr fontId="7" type="noConversion"/>
  </si>
  <si>
    <t>The inverter operation time without the current rise and decay time</t>
    <phoneticPr fontId="7" type="noConversion"/>
  </si>
  <si>
    <t xml:space="preserve">Motor Gate Enable </t>
  </si>
  <si>
    <t>uint8</t>
  </si>
  <si>
    <t>should be set to 1 to enable, 0 to disable</t>
  </si>
  <si>
    <r>
      <t xml:space="preserve">Motor Base Freq </t>
    </r>
    <r>
      <rPr>
        <sz val="10"/>
        <color indexed="8"/>
        <rFont val="Arial"/>
        <family val="2"/>
      </rPr>
      <t>(Hz)  NOTE 2</t>
    </r>
    <phoneticPr fontId="7" type="noConversion"/>
  </si>
  <si>
    <t>uint16</t>
    <phoneticPr fontId="7" type="noConversion"/>
  </si>
  <si>
    <t>The IGBT switch frequency, set 10000 as the default value</t>
  </si>
  <si>
    <t xml:space="preserve">New Data Flag </t>
  </si>
  <si>
    <t>must be set to no 0x00 to indicate new data has been downloaded, cleared by the product</t>
  </si>
  <si>
    <t>MCP Motor Gate Enable</t>
    <phoneticPr fontId="7" type="noConversion"/>
  </si>
  <si>
    <t>Speed_Setpt</t>
  </si>
  <si>
    <t>New Data Flag</t>
    <phoneticPr fontId="7" type="noConversion"/>
  </si>
  <si>
    <t>must be set to 0xff to indicate new data has been downloaded, cleared by the product</t>
    <phoneticPr fontId="7" type="noConversion"/>
  </si>
  <si>
    <t>Speed_Control_Enable</t>
  </si>
  <si>
    <r>
      <rPr>
        <b/>
        <sz val="10"/>
        <color rgb="FF000000"/>
        <rFont val="Arial"/>
        <family val="2"/>
      </rPr>
      <t>Reset_Motor_Faults</t>
    </r>
    <r>
      <rPr>
        <sz val="10"/>
        <color indexed="8"/>
        <rFont val="Arial"/>
        <family val="2"/>
      </rPr>
      <t xml:space="preserve"> </t>
    </r>
    <phoneticPr fontId="7" type="noConversion"/>
  </si>
  <si>
    <t>set to 1, reset motor faults</t>
    <phoneticPr fontId="7" type="noConversion"/>
  </si>
  <si>
    <r>
      <rPr>
        <b/>
        <sz val="10"/>
        <color rgb="FF000000"/>
        <rFont val="Arial"/>
        <family val="2"/>
      </rPr>
      <t>Speed_Control_Enable</t>
    </r>
    <r>
      <rPr>
        <sz val="10"/>
        <color indexed="8"/>
        <rFont val="Arial"/>
        <family val="2"/>
      </rPr>
      <t xml:space="preserve"> </t>
    </r>
    <phoneticPr fontId="7" type="noConversion"/>
  </si>
  <si>
    <t>It should be set to 1 to enable the speed loop control, 0 to disable</t>
  </si>
  <si>
    <r>
      <rPr>
        <b/>
        <sz val="10"/>
        <color rgb="FF000000"/>
        <rFont val="Arial"/>
        <family val="2"/>
      </rPr>
      <t>Speed_Setpt</t>
    </r>
    <r>
      <rPr>
        <sz val="10"/>
        <color indexed="8"/>
        <rFont val="Arial"/>
        <family val="2"/>
      </rPr>
      <t xml:space="preserve"> (rpm)</t>
    </r>
    <phoneticPr fontId="7" type="noConversion"/>
  </si>
  <si>
    <t>float32</t>
    <phoneticPr fontId="7" type="noConversion"/>
  </si>
  <si>
    <t>The setting speed value of the speed loop</t>
  </si>
  <si>
    <t>Voltage_Control_Enable</t>
    <phoneticPr fontId="7" type="noConversion"/>
  </si>
  <si>
    <t>It should be set to 1 to enable the voltage loop control, 0 to disable</t>
    <phoneticPr fontId="7" type="noConversion"/>
  </si>
  <si>
    <t>Voltage_Setpt (V)</t>
    <phoneticPr fontId="7" type="noConversion"/>
  </si>
  <si>
    <t>The setting voltage value of the voltage loop</t>
    <phoneticPr fontId="7" type="noConversion"/>
  </si>
  <si>
    <t>FT_Motor_Gain_Settings,74</t>
  </si>
  <si>
    <t>FTM_KID</t>
  </si>
  <si>
    <t>default = 50,Integral gain of Ids current regulator</t>
  </si>
  <si>
    <t>FTM_KIQ</t>
  </si>
  <si>
    <t>default = 50,Integral gain of Iqs current regulator</t>
  </si>
  <si>
    <t>FTM_KPD</t>
  </si>
  <si>
    <t>default = 0.35,Proportional gain of Ids current regulator</t>
  </si>
  <si>
    <t>FTM_KPQ</t>
  </si>
  <si>
    <t>default = 0.35,Proportional gain of Iqs current regulator</t>
  </si>
  <si>
    <t>FTM_KM_Offset_Angle </t>
  </si>
  <si>
    <t>default = 270</t>
  </si>
  <si>
    <t>FTM_Speed_KP</t>
    <phoneticPr fontId="7" type="noConversion"/>
  </si>
  <si>
    <t>default = 0.008</t>
  </si>
  <si>
    <t>KB_INVTRB_Pos_Sensor_Dirn_Polarity</t>
    <phoneticPr fontId="7" type="noConversion"/>
  </si>
  <si>
    <t>default = 1.0</t>
  </si>
  <si>
    <t>FTM_Speed_KI</t>
  </si>
  <si>
    <t>default = 0.01</t>
  </si>
  <si>
    <t>POLE_PAIRS</t>
  </si>
  <si>
    <t>default = 4</t>
  </si>
  <si>
    <t>Speed Tau</t>
    <phoneticPr fontId="7" type="noConversion"/>
  </si>
  <si>
    <t>default = 0.9</t>
    <phoneticPr fontId="7" type="noConversion"/>
  </si>
  <si>
    <t>FTM_Speed_KP</t>
  </si>
  <si>
    <t>FTM_KM_Offset_Angle </t>
    <phoneticPr fontId="7" type="noConversion"/>
  </si>
  <si>
    <t>KB_Motor_Sequence</t>
    <phoneticPr fontId="7" type="noConversion"/>
  </si>
  <si>
    <t>K_FTM_HVDC_AI</t>
  </si>
  <si>
    <t>default =350</t>
    <phoneticPr fontId="7" type="noConversion"/>
  </si>
  <si>
    <t>FT_Motor_Status_Data, 70 (read only)</t>
  </si>
  <si>
    <t>Description</t>
  </si>
  <si>
    <t>Fault_Status</t>
  </si>
  <si>
    <t>bit0</t>
  </si>
  <si>
    <t>dtc_PhA_Over_Current_flt</t>
  </si>
  <si>
    <t>SW</t>
  </si>
  <si>
    <t>bit1</t>
  </si>
  <si>
    <t>dtc_PhB_Over_Current_flt</t>
  </si>
  <si>
    <t>bit2</t>
  </si>
  <si>
    <t>dtc_PhC_Over_Current_flt</t>
  </si>
  <si>
    <t>bit3</t>
  </si>
  <si>
    <t>dtc_Phase_Over_CurrentA_Hw_Flt</t>
  </si>
  <si>
    <t>HW</t>
  </si>
  <si>
    <t>bit4</t>
  </si>
  <si>
    <t>dtc_Phase_Over_CurrentB_Hw_Flt</t>
  </si>
  <si>
    <t>bit5</t>
  </si>
  <si>
    <t>dtc_Phase_Over_CurrentC_Hw_Flt</t>
  </si>
  <si>
    <t>bit6</t>
  </si>
  <si>
    <t>dtc_PhA_Upper_Temp_flt</t>
  </si>
  <si>
    <t>dtc_PhA_Upper_Temp_flt</t>
    <phoneticPr fontId="7" type="noConversion"/>
  </si>
  <si>
    <t>bit7</t>
  </si>
  <si>
    <t>dtc_PhA_Lower_Temp_flt</t>
  </si>
  <si>
    <t>dtc_PhB_Upper_Temp_flt</t>
  </si>
  <si>
    <t>dtc_PhB_Upper_Temp_flt</t>
    <phoneticPr fontId="7" type="noConversion"/>
  </si>
  <si>
    <t>dtc_PhB_Lower_Temp_flt</t>
  </si>
  <si>
    <t>dtc_PhC_Upper_Temp_flt</t>
  </si>
  <si>
    <t>dtc_PhC_Upper_Temp_flt</t>
    <phoneticPr fontId="7" type="noConversion"/>
  </si>
  <si>
    <t>dtc_PhC_Lower_Temp_flt</t>
  </si>
  <si>
    <t>dtc_PhC_Lower_Temp_flt</t>
    <phoneticPr fontId="7" type="noConversion"/>
  </si>
  <si>
    <t>dtc_Motor_Temp1_flt</t>
  </si>
  <si>
    <t xml:space="preserve">dtc_Motor_Temp1_flt  </t>
    <phoneticPr fontId="7" type="noConversion"/>
  </si>
  <si>
    <t>dtc_Motor_Temp2_flt</t>
  </si>
  <si>
    <t>dtc_Motor_Temp3_flt</t>
  </si>
  <si>
    <t>dtc_Motor_Temp3_flt（reserved）</t>
    <phoneticPr fontId="7" type="noConversion"/>
  </si>
  <si>
    <t>dtc_Desat_UP_Flt</t>
  </si>
  <si>
    <t>dtc_Desat_LO_Flt</t>
  </si>
  <si>
    <t>dtc_UV_A_Upper_Flt</t>
  </si>
  <si>
    <t>dtc_UV_B_Upper_Flt</t>
  </si>
  <si>
    <t>dtc_UV_C_Upper_Flt</t>
  </si>
  <si>
    <t>dtc_UV_A_Lower_Flt</t>
  </si>
  <si>
    <t>dtc_UV_B_Lower_Flt</t>
  </si>
  <si>
    <t>dtc_UV_C_Lower_Flt</t>
  </si>
  <si>
    <t>dtc_Master_Flt_Set</t>
  </si>
  <si>
    <t>dtc_Bus_Under_Volt_Flt</t>
  </si>
  <si>
    <t>dtc_Bus_Under_Volt_Flt</t>
    <phoneticPr fontId="7" type="noConversion"/>
  </si>
  <si>
    <t>dtc_Bus_Over_Volt_Flt</t>
  </si>
  <si>
    <t>dtc_Bus_Over_Volt_Flt</t>
    <phoneticPr fontId="7" type="noConversion"/>
  </si>
  <si>
    <t>dtc_Bus_Over_Volt_Hw_Flt</t>
  </si>
  <si>
    <t>dtc_Bus_Over_Volt_Hw_Flt</t>
    <phoneticPr fontId="7" type="noConversion"/>
  </si>
  <si>
    <t>dtc_Bus_Over_Volt_HW_Latched_Flt</t>
  </si>
  <si>
    <t xml:space="preserve">dtc_Bus_Over_Volt_HW_Latched_Flt </t>
  </si>
  <si>
    <t>dtc_UV_All_Upper_Latched_Flt</t>
  </si>
  <si>
    <t>dtc_UV_All_Lower_Latched_Flt</t>
  </si>
  <si>
    <t>dtc_Exc_UVHI_Flt</t>
  </si>
  <si>
    <t>dtc_ZeroSeq_Over_Current_Flt</t>
  </si>
  <si>
    <t>dtc_Exc_UVLO_Hi_Flt</t>
  </si>
  <si>
    <t>dtc_UV_UP_Flt</t>
  </si>
  <si>
    <t>dtc_Exc_UVLO_Flt</t>
  </si>
  <si>
    <t>dtc_UV_LO_Flt</t>
  </si>
  <si>
    <t>dtc_Exc_UVLO_Lo_Flt</t>
  </si>
  <si>
    <t>dtc_Exc_DSATHI_Flt</t>
  </si>
  <si>
    <t>dtc_Exc_DSATLO_Flt</t>
  </si>
  <si>
    <t>dtc_Exc_OC_Flt</t>
  </si>
  <si>
    <t>5~7</t>
    <phoneticPr fontId="10" type="noConversion"/>
  </si>
  <si>
    <t>8bits，8bits，8bits</t>
  </si>
  <si>
    <t xml:space="preserve">Ramp_Mode
Motor Mode Values </t>
  </si>
  <si>
    <t>OPEN_LOOP_RAMP_INIT</t>
  </si>
  <si>
    <t>OPEN_LOOP_RAMP_UP</t>
  </si>
  <si>
    <t>OPEN_LOOP_RAMP_HOLD</t>
  </si>
  <si>
    <t>OPEN_LOOP_RAMP_DOWN</t>
  </si>
  <si>
    <t>OPEN_LOOP_RAMP_DONE</t>
  </si>
  <si>
    <t>OPEN_LOOP_RAMP_UP_2_NEW_CURRENT</t>
  </si>
  <si>
    <t>OPEN_LOOP_RAMP_DOWN_2_NEW_CURRENT</t>
  </si>
  <si>
    <t>Status
Motor Status Values</t>
  </si>
  <si>
    <t>OPEN_LOOP_SEQ_INIT</t>
  </si>
  <si>
    <t>OPEN_LOOP_SEQ_RUNNING</t>
  </si>
  <si>
    <t>OPEN_LOOP_SEQ_SUCCESS</t>
  </si>
  <si>
    <t>OPEN_LOOP_SEQ_DIAG_FAULT</t>
  </si>
  <si>
    <t>OPEN_LOOP_SEQ_PARAM_FAULT</t>
  </si>
  <si>
    <t>OPEN_LOOP_SEQ_MANUAL_OVERRIDE</t>
  </si>
  <si>
    <r>
      <rPr>
        <sz val="11"/>
        <color rgb="FFFF0000"/>
        <rFont val="等线"/>
        <family val="2"/>
        <scheme val="minor"/>
      </rPr>
      <t>*</t>
    </r>
    <r>
      <rPr>
        <sz val="11"/>
        <rFont val="等线"/>
        <family val="2"/>
        <scheme val="minor"/>
      </rPr>
      <t>It</t>
    </r>
    <r>
      <rPr>
        <sz val="11"/>
        <color theme="1"/>
        <rFont val="等线"/>
        <family val="2"/>
        <charset val="134"/>
        <scheme val="minor"/>
      </rPr>
      <t xml:space="preserve"> is value, not bit sequence</t>
    </r>
  </si>
  <si>
    <t>FT_Motor_Limits,78</t>
  </si>
  <si>
    <t>PwrMod_Temp_Max</t>
  </si>
  <si>
    <t>default = 135</t>
  </si>
  <si>
    <t>PwrMod_Temp_Max</t>
    <phoneticPr fontId="7" type="noConversion"/>
  </si>
  <si>
    <t>PwrMod_Temp_Min</t>
  </si>
  <si>
    <t>default = -60</t>
  </si>
  <si>
    <t>Motor_Temp_Max</t>
  </si>
  <si>
    <t>default = 120</t>
  </si>
  <si>
    <t>Motor_Temp_Min</t>
  </si>
  <si>
    <t>default = -45</t>
  </si>
  <si>
    <t>Max_Phase_Current</t>
  </si>
  <si>
    <t>default = 640</t>
  </si>
  <si>
    <t>Board_Temp_Max</t>
  </si>
  <si>
    <t>Vbus_Max</t>
  </si>
  <si>
    <t>default = 420</t>
  </si>
  <si>
    <t>Board_Temp_Min</t>
  </si>
  <si>
    <t>Vbus_Min</t>
  </si>
  <si>
    <t>default = 190</t>
  </si>
  <si>
    <t>Max_Phase_Current</t>
    <phoneticPr fontId="7" type="noConversion"/>
  </si>
  <si>
    <t>Vbus_Max</t>
    <phoneticPr fontId="7" type="noConversion"/>
  </si>
  <si>
    <t>FT_TM_Expected_Load,D8</t>
  </si>
  <si>
    <t>default = 0,  FT_load_Inductor = 0, FT_load_EME = 1, FT_load_Motor = 2</t>
  </si>
  <si>
    <t>default = 0,  FT_load_Inductor = 0, FT_load_EME = 1, FT_load_Motor = 2</t>
    <phoneticPr fontId="7" type="noConversion"/>
  </si>
  <si>
    <t>New_Data_Flag</t>
  </si>
  <si>
    <t>unit8</t>
  </si>
  <si>
    <t>FT_Motor_RPM_Out,9C</t>
  </si>
  <si>
    <t>Motor_RPM</t>
  </si>
  <si>
    <t>Motor_RPM_Max</t>
  </si>
  <si>
    <t>Motor_RPM_Min</t>
  </si>
  <si>
    <t>Reset_Motor_RPM_MinMax</t>
  </si>
  <si>
    <t>This is one data written to ECU</t>
    <phoneticPr fontId="7" type="noConversion"/>
  </si>
  <si>
    <t>The Reset_Motor_RPM_MinMax should be set to 1 to reset the min and max values, the code will reset the value to 0</t>
    <phoneticPr fontId="7" type="noConversion"/>
  </si>
  <si>
    <r>
      <t xml:space="preserve">Iqs_Start  </t>
    </r>
    <r>
      <rPr>
        <sz val="10"/>
        <color theme="1"/>
        <rFont val="Arial"/>
        <family val="2"/>
      </rPr>
      <t>(peak Amps)</t>
    </r>
  </si>
  <si>
    <r>
      <t xml:space="preserve">Iqs_Start  </t>
    </r>
    <r>
      <rPr>
        <sz val="10"/>
        <rFont val="等线"/>
        <family val="2"/>
        <scheme val="minor"/>
      </rPr>
      <t>(peak Amps)</t>
    </r>
  </si>
  <si>
    <r>
      <t xml:space="preserve">Iqs_End  </t>
    </r>
    <r>
      <rPr>
        <sz val="10"/>
        <color theme="1"/>
        <rFont val="Arial"/>
        <family val="2"/>
      </rPr>
      <t>(peak Amps)</t>
    </r>
  </si>
  <si>
    <r>
      <t xml:space="preserve">Iqs_End  </t>
    </r>
    <r>
      <rPr>
        <sz val="10"/>
        <rFont val="等线"/>
        <family val="2"/>
        <scheme val="minor"/>
      </rPr>
      <t>(peak Amps)</t>
    </r>
  </si>
  <si>
    <r>
      <t xml:space="preserve">Iqs_Step  </t>
    </r>
    <r>
      <rPr>
        <sz val="10"/>
        <color theme="1"/>
        <rFont val="Arial"/>
        <family val="2"/>
      </rPr>
      <t>(peak Amps)</t>
    </r>
  </si>
  <si>
    <r>
      <t xml:space="preserve">Iqs_Step  </t>
    </r>
    <r>
      <rPr>
        <sz val="10"/>
        <rFont val="等线"/>
        <family val="2"/>
        <scheme val="minor"/>
      </rPr>
      <t>(peak Amps)</t>
    </r>
  </si>
  <si>
    <t>Ramp_Time_MS  (ms)</t>
  </si>
  <si>
    <r>
      <t xml:space="preserve">4 byte </t>
    </r>
    <r>
      <rPr>
        <sz val="11"/>
        <rFont val="等线"/>
        <family val="3"/>
        <charset val="134"/>
        <scheme val="minor"/>
      </rPr>
      <t>float</t>
    </r>
    <phoneticPr fontId="7" type="noConversion"/>
  </si>
  <si>
    <r>
      <t xml:space="preserve">Output Frequency </t>
    </r>
    <r>
      <rPr>
        <sz val="10"/>
        <rFont val="Arial"/>
        <family val="2"/>
      </rPr>
      <t xml:space="preserve">(Hz) </t>
    </r>
    <phoneticPr fontId="7" type="noConversion"/>
  </si>
  <si>
    <r>
      <t>Motor Control Test Mode</t>
    </r>
    <r>
      <rPr>
        <sz val="10"/>
        <rFont val="Arial"/>
        <family val="2"/>
      </rPr>
      <t xml:space="preserve"> NOTE 1</t>
    </r>
  </si>
  <si>
    <t>0: Motor control default
1: Motor control open loop
2: Motor control current loop
3: Motor control open loop sequence
4: Motor control current loop sequence</t>
    <phoneticPr fontId="24" type="noConversion"/>
  </si>
  <si>
    <t>unused</t>
  </si>
  <si>
    <r>
      <t xml:space="preserve">On/Off Ramp Time </t>
    </r>
    <r>
      <rPr>
        <sz val="10"/>
        <rFont val="Arial"/>
        <family val="2"/>
      </rPr>
      <t>(mS)</t>
    </r>
    <phoneticPr fontId="7" type="noConversion"/>
  </si>
  <si>
    <r>
      <t xml:space="preserve">Motor Base Freq </t>
    </r>
    <r>
      <rPr>
        <sz val="10"/>
        <rFont val="Arial"/>
        <family val="2"/>
      </rPr>
      <t>(Hz)  NOTE 2</t>
    </r>
    <phoneticPr fontId="7" type="noConversion"/>
  </si>
  <si>
    <r>
      <rPr>
        <b/>
        <sz val="10"/>
        <rFont val="Arial"/>
        <family val="2"/>
      </rPr>
      <t>Reset_Motor_Faults</t>
    </r>
    <r>
      <rPr>
        <sz val="10"/>
        <rFont val="Arial"/>
        <family val="2"/>
      </rPr>
      <t xml:space="preserve"> </t>
    </r>
    <phoneticPr fontId="7" type="noConversion"/>
  </si>
  <si>
    <r>
      <rPr>
        <b/>
        <sz val="10"/>
        <rFont val="Arial"/>
        <family val="2"/>
      </rPr>
      <t>Speed_Control_Enable</t>
    </r>
    <r>
      <rPr>
        <sz val="10"/>
        <rFont val="Arial"/>
        <family val="2"/>
      </rPr>
      <t xml:space="preserve"> </t>
    </r>
    <phoneticPr fontId="7" type="noConversion"/>
  </si>
  <si>
    <r>
      <rPr>
        <b/>
        <sz val="10"/>
        <rFont val="Arial"/>
        <family val="2"/>
      </rPr>
      <t>Speed_Setpt</t>
    </r>
    <r>
      <rPr>
        <sz val="10"/>
        <rFont val="Arial"/>
        <family val="2"/>
      </rPr>
      <t xml:space="preserve"> (rpm)</t>
    </r>
    <phoneticPr fontId="7" type="noConversion"/>
  </si>
  <si>
    <t>default = 50,Integral gain of Ids current regulator</t>
    <phoneticPr fontId="24" type="noConversion"/>
  </si>
  <si>
    <t>default = -42</t>
  </si>
  <si>
    <t>POLE_PAIRS</t>
    <phoneticPr fontId="24" type="noConversion"/>
  </si>
  <si>
    <t>default = 6</t>
  </si>
  <si>
    <t>K_FTM_HVDC_AI</t>
    <phoneticPr fontId="24" type="noConversion"/>
  </si>
  <si>
    <t xml:space="preserve"> dtc_PhC_Lower_Temp_flt</t>
  </si>
  <si>
    <r>
      <t>8bits</t>
    </r>
    <r>
      <rPr>
        <sz val="10"/>
        <color theme="1"/>
        <rFont val="DengXian"/>
        <family val="2"/>
        <charset val="134"/>
      </rPr>
      <t>，</t>
    </r>
    <r>
      <rPr>
        <sz val="10"/>
        <color theme="1"/>
        <rFont val="Arial"/>
        <family val="2"/>
      </rPr>
      <t>8bits</t>
    </r>
    <r>
      <rPr>
        <sz val="10"/>
        <color theme="1"/>
        <rFont val="DengXian"/>
        <family val="2"/>
        <charset val="134"/>
      </rPr>
      <t>，</t>
    </r>
    <r>
      <rPr>
        <sz val="10"/>
        <color theme="1"/>
        <rFont val="Arial"/>
        <family val="2"/>
      </rPr>
      <t>8bits</t>
    </r>
  </si>
  <si>
    <t>FT_GM_Expected_Load,DC</t>
  </si>
  <si>
    <t>This is one data written to ECU</t>
  </si>
  <si>
    <t>Coments</t>
  </si>
  <si>
    <t>PhaseA_DC</t>
  </si>
  <si>
    <t>0=lower IGBT on, 100=upper IGBT on</t>
  </si>
  <si>
    <t>PhaseB_DC</t>
  </si>
  <si>
    <t>PhaseC_DC</t>
  </si>
  <si>
    <t>Phase_Change_Flag</t>
  </si>
  <si>
    <t>0=no data change, 1 = data change</t>
  </si>
  <si>
    <t>Current_Min_Max_Reset_Flag</t>
  </si>
  <si>
    <t>1: Reset min and max current</t>
  </si>
  <si>
    <t>PhaseA_Current</t>
  </si>
  <si>
    <t>PhaseB_Current</t>
  </si>
  <si>
    <t>PhaseC_Current</t>
  </si>
  <si>
    <t>PhaseA_Min_Current</t>
  </si>
  <si>
    <t>PhaseB_Min_Current</t>
  </si>
  <si>
    <t>PhaseC_Min_Current</t>
  </si>
  <si>
    <t>PhaseA_Max_Current</t>
  </si>
  <si>
    <t>PhaseB_Max_Current</t>
  </si>
  <si>
    <t>PhaseC_Max_Current</t>
  </si>
  <si>
    <t>Motctrl_phaseI_RMS</t>
    <phoneticPr fontId="24" type="noConversion"/>
  </si>
  <si>
    <t>0=lower IGBT on, 100=upper IGBT on</t>
    <phoneticPr fontId="24" type="noConversion"/>
  </si>
  <si>
    <t>Motctrl_phaseI_RMS</t>
  </si>
  <si>
    <t>FT_Re_Init_Min_Max_Tables_Flag,38</t>
    <phoneticPr fontId="24" type="noConversion"/>
  </si>
  <si>
    <t>Name</t>
    <phoneticPr fontId="8" type="noConversion"/>
  </si>
  <si>
    <t>update the current value flag.
If need read the current value, please make this flag set 1</t>
    <phoneticPr fontId="24" type="noConversion"/>
  </si>
  <si>
    <t>Unit</t>
  </si>
  <si>
    <t>r/min</t>
  </si>
  <si>
    <t>deg</t>
  </si>
  <si>
    <t>uint8</t>
    <phoneticPr fontId="24" type="noConversion"/>
  </si>
  <si>
    <t>Loss of Signal = 0,  Degradationg of Signal  = 1, Loss of Tracking = 2, No Fault  = 3</t>
  </si>
  <si>
    <r>
      <t>Internal CAN_Bus_test,</t>
    </r>
    <r>
      <rPr>
        <b/>
        <sz val="10"/>
        <color rgb="FFFF0000"/>
        <rFont val="Arial"/>
        <family val="2"/>
      </rPr>
      <t>AC</t>
    </r>
    <phoneticPr fontId="24" type="noConversion"/>
  </si>
  <si>
    <t>Step1</t>
  </si>
  <si>
    <t>Result</t>
  </si>
  <si>
    <r>
      <t xml:space="preserve">FTCAN_Loopback_test, </t>
    </r>
    <r>
      <rPr>
        <b/>
        <sz val="10"/>
        <color rgb="FFFF0000"/>
        <rFont val="Arial"/>
        <family val="2"/>
      </rPr>
      <t>CC</t>
    </r>
    <phoneticPr fontId="24" type="noConversion"/>
  </si>
  <si>
    <t>Get magic address</t>
  </si>
  <si>
    <t>Step2</t>
  </si>
  <si>
    <t>Get FTCAN_Loopback_test function address by sending magic address add offset address</t>
  </si>
  <si>
    <t>Step3</t>
  </si>
  <si>
    <r>
      <t xml:space="preserve">Send run FTCAN_Loopback_test function message and then CAN1 will send one ID=0x7EA data = {45 45 45 45 45 45 45 45} message to CAN2, CAN2 will send one ID=0x7E2 and data = {46 46 46 46 46 46 46 46} message to CAN1, 
For example, Run message:7EE XX XX XX XX 00 00 00 </t>
    </r>
    <r>
      <rPr>
        <sz val="11"/>
        <color rgb="FFFF0000"/>
        <rFont val="等线"/>
        <family val="3"/>
        <charset val="134"/>
        <scheme val="minor"/>
      </rPr>
      <t>FF</t>
    </r>
    <phoneticPr fontId="24" type="noConversion"/>
  </si>
  <si>
    <t xml:space="preserve">CAN1 will send the result, 7EF CAN1_result  CAN2_result  . For example, 7EF 02 02. </t>
    <phoneticPr fontId="24" type="noConversion"/>
  </si>
  <si>
    <t xml:space="preserve">7EE XX XX XX XX 00 00 00 FF </t>
    <phoneticPr fontId="24" type="noConversion"/>
  </si>
  <si>
    <t>7EA 45 45 45 45 45 45 45 45
7E2 46 46 46 46 46 46 46 46
7EF 02 02</t>
    <phoneticPr fontId="24" type="noConversion"/>
  </si>
  <si>
    <t>FT_Mode_N,4C</t>
    <phoneticPr fontId="24" type="noConversion"/>
  </si>
  <si>
    <t>Offset</t>
    <phoneticPr fontId="8" type="noConversion"/>
  </si>
  <si>
    <t>FT_Requested_Mode,50</t>
    <phoneticPr fontId="24" type="noConversion"/>
  </si>
  <si>
    <t>FT_Code_Version,54</t>
    <phoneticPr fontId="24" type="noConversion"/>
  </si>
  <si>
    <t>Code version</t>
  </si>
  <si>
    <t>Read code version</t>
  </si>
  <si>
    <t>FT_Main_SW_Version,58</t>
    <phoneticPr fontId="24" type="noConversion"/>
  </si>
  <si>
    <t>Main_sw_version</t>
  </si>
  <si>
    <t>Read Main SW Version</t>
  </si>
  <si>
    <t>FT_Hardware_Version,5C</t>
  </si>
  <si>
    <t>Hardware_version</t>
  </si>
  <si>
    <t>FT_Variant_ID, 60</t>
  </si>
  <si>
    <t>FT_Ecu_Type,64</t>
    <phoneticPr fontId="24" type="noConversion"/>
  </si>
  <si>
    <t>Read ECU type</t>
  </si>
  <si>
    <t>FT_Current_Sense_Test_Cmd_Data__TM2, 90</t>
  </si>
  <si>
    <t>FT_Current_Sense_Test_Result_Data__TM2, 94</t>
  </si>
  <si>
    <t>FT_Motor_Control_Data__TM2,84</t>
  </si>
  <si>
    <t>FT_Motor_Control_Data__TM2, 80</t>
  </si>
  <si>
    <t>FT_Motor_Gain_Settings__TM2,8C</t>
  </si>
  <si>
    <t>KB_INVTRB_Pos_Sensor_Dirn_Polarity__TM2</t>
  </si>
  <si>
    <t>FT_Motor_Status_Data__TM2,88 (read only)</t>
  </si>
  <si>
    <t>FT_Motor_Limits__TM2,90</t>
  </si>
  <si>
    <t>FT_Motor_Limits__TM2, 8C</t>
  </si>
  <si>
    <t>FT_Motor_RPM_Out__TM2,AC</t>
  </si>
  <si>
    <t>FT_Motor_RPM_Out__TM2, A8</t>
  </si>
  <si>
    <t>FT_Motor_Gain_Settings__TM2, 88</t>
    <phoneticPr fontId="3" type="noConversion"/>
  </si>
  <si>
    <t>FT_Resolver_Data_TM2</t>
    <phoneticPr fontId="3" type="noConversion"/>
  </si>
  <si>
    <t>FT_Resolver_Data_TM1</t>
    <phoneticPr fontId="10" type="noConversion"/>
  </si>
  <si>
    <t>FT_Resolver_Data_TM1,44</t>
    <phoneticPr fontId="24" type="noConversion"/>
  </si>
  <si>
    <t>FT_Resolver_Data__TM2,48</t>
    <phoneticPr fontId="3" type="noConversion"/>
  </si>
  <si>
    <t>FT_Discrete_Inputs_Transition</t>
    <phoneticPr fontId="3" type="noConversion"/>
  </si>
  <si>
    <t>FT_Re_Init_Min_Max_Tables_Flag</t>
    <phoneticPr fontId="3" type="noConversion"/>
  </si>
  <si>
    <t>FT_Motor_RPM_Out_TM2</t>
    <phoneticPr fontId="3" type="noConversion"/>
  </si>
  <si>
    <t>FT_Motor_RPM_Out_TM1</t>
    <phoneticPr fontId="7" type="noConversion"/>
  </si>
  <si>
    <t>FT_Analog_Inputs_Max,4</t>
    <phoneticPr fontId="7" type="noConversion"/>
  </si>
  <si>
    <t>FT_Analog_Inputs_Min,8</t>
    <phoneticPr fontId="7" type="noConversion"/>
  </si>
  <si>
    <t>FT_Ana_In_Counts_Min,14</t>
    <phoneticPr fontId="7" type="noConversion"/>
  </si>
  <si>
    <t>FT_Ana_In_Counts_Max_10</t>
    <phoneticPr fontId="7" type="noConversion"/>
  </si>
  <si>
    <t>FT_Pulse_Inputs_Max</t>
    <phoneticPr fontId="3" type="noConversion"/>
  </si>
  <si>
    <t>FT_Pulse_Inputs_Max,24</t>
    <phoneticPr fontId="7" type="noConversion"/>
  </si>
  <si>
    <t>FT_Pulse_Inputs_Min,28</t>
    <phoneticPr fontId="7" type="noConversion"/>
  </si>
  <si>
    <t>2C</t>
    <phoneticPr fontId="3" type="noConversion"/>
  </si>
  <si>
    <t>FT_Phase_Temp_Inputs,2C</t>
    <phoneticPr fontId="7" type="noConversion"/>
  </si>
  <si>
    <t>FT_Phase_Temp_Inputs_Max,30</t>
    <phoneticPr fontId="7" type="noConversion"/>
  </si>
  <si>
    <t>FT_Phase_Temp_Inputs_Min,34</t>
    <phoneticPr fontId="7" type="noConversion"/>
  </si>
  <si>
    <r>
      <t>FT_Motor_Control_Data_TM1,</t>
    </r>
    <r>
      <rPr>
        <b/>
        <strike/>
        <sz val="10"/>
        <rFont val="等线"/>
        <family val="3"/>
        <charset val="134"/>
        <scheme val="minor"/>
      </rPr>
      <t xml:space="preserve"> </t>
    </r>
    <r>
      <rPr>
        <b/>
        <sz val="10"/>
        <rFont val="等线"/>
        <family val="3"/>
        <charset val="134"/>
        <scheme val="minor"/>
      </rPr>
      <t>68</t>
    </r>
    <phoneticPr fontId="7" type="noConversion"/>
  </si>
  <si>
    <t>FT_Motor_Gain_Settings_TM1, 70</t>
    <phoneticPr fontId="7" type="noConversion"/>
  </si>
  <si>
    <t>FT_Motor_Status_Data_TM1,  6C(read only)</t>
    <phoneticPr fontId="3" type="noConversion"/>
  </si>
  <si>
    <t>FT_Motor_Limits_TM1, 74</t>
    <phoneticPr fontId="7" type="noConversion"/>
  </si>
  <si>
    <t>uint9</t>
  </si>
  <si>
    <t>FT_Motor_RPM_Out_TM1, 98</t>
    <phoneticPr fontId="7" type="noConversion"/>
  </si>
  <si>
    <t>FT_TM2_Expected_Load</t>
    <phoneticPr fontId="3" type="noConversion"/>
  </si>
  <si>
    <t>FT_TM1_Expected_Load</t>
    <phoneticPr fontId="3" type="noConversion"/>
  </si>
  <si>
    <t>FT_TM1_Expected_Load, BC</t>
    <phoneticPr fontId="7" type="noConversion"/>
  </si>
  <si>
    <t>FT_TM2_Expected_Load, C0</t>
    <phoneticPr fontId="24" type="noConversion"/>
  </si>
  <si>
    <t>4S</t>
    <phoneticPr fontId="3" type="noConversion"/>
  </si>
  <si>
    <t>B0</t>
    <phoneticPr fontId="3" type="noConversion"/>
  </si>
  <si>
    <t>FT_Ph_Current_RunIn_Cmd_TM1</t>
    <phoneticPr fontId="64" type="noConversion"/>
  </si>
  <si>
    <t>FT_Ph_Current_RunIn_Status_TM1</t>
    <phoneticPr fontId="64" type="noConversion"/>
  </si>
  <si>
    <t>FT_Ph_Current_RunIn_Cmd_TM2</t>
    <phoneticPr fontId="64" type="noConversion"/>
  </si>
  <si>
    <t>FT_Ph_Current_RunIn_Status_TM2</t>
    <phoneticPr fontId="64" type="noConversion"/>
  </si>
  <si>
    <t>Auto_output_PWM _flag_TM2</t>
    <phoneticPr fontId="44" type="noConversion"/>
  </si>
  <si>
    <t>Auto_output_PWM _flag_TM1</t>
    <phoneticPr fontId="3" type="noConversion"/>
  </si>
  <si>
    <r>
      <t>MCU PWM Port state:
0: disable auto output PWM function
1: Enable  auto output PWM function
TM2:</t>
    </r>
    <r>
      <rPr>
        <sz val="10"/>
        <color rgb="FF000000"/>
        <rFont val="宋体"/>
        <family val="2"/>
        <charset val="134"/>
      </rPr>
      <t xml:space="preserve">
</t>
    </r>
    <r>
      <rPr>
        <sz val="10"/>
        <color rgb="FF000000"/>
        <rFont val="Arial"/>
        <family val="2"/>
      </rPr>
      <t>(Frequency</t>
    </r>
    <r>
      <rPr>
        <sz val="10"/>
        <color rgb="FF000000"/>
        <rFont val="微软雅黑"/>
        <family val="2"/>
        <charset val="134"/>
      </rPr>
      <t>：</t>
    </r>
    <r>
      <rPr>
        <sz val="10"/>
        <color rgb="FF000000"/>
        <rFont val="Arial"/>
        <family val="2"/>
      </rPr>
      <t>10kHz, )
Duty Cycle:AU20% BU30% CU40%;AL80% BL70% CL60%</t>
    </r>
    <r>
      <rPr>
        <sz val="10"/>
        <color rgb="FF000000"/>
        <rFont val="微软雅黑"/>
        <family val="2"/>
        <charset val="134"/>
      </rPr>
      <t xml:space="preserve">）
</t>
    </r>
    <r>
      <rPr>
        <sz val="10"/>
        <color indexed="8"/>
        <rFont val="Arial"/>
        <family val="2"/>
      </rPr>
      <t xml:space="preserve">                                                                                            </t>
    </r>
    <phoneticPr fontId="3" type="noConversion"/>
  </si>
  <si>
    <t>FT_Auto_Output_PWM_Mode_TM1,D4</t>
    <phoneticPr fontId="32" type="noConversion"/>
  </si>
  <si>
    <t>FT_Auto_Output_PWM_Mode_TM2,D8</t>
    <phoneticPr fontId="32" type="noConversion"/>
  </si>
  <si>
    <t>DC</t>
    <phoneticPr fontId="3" type="noConversion"/>
  </si>
  <si>
    <t>E0</t>
    <phoneticPr fontId="3" type="noConversion"/>
  </si>
  <si>
    <t>E4</t>
    <phoneticPr fontId="3" type="noConversion"/>
  </si>
  <si>
    <t>E8</t>
    <phoneticPr fontId="3" type="noConversion"/>
  </si>
  <si>
    <t>FT_Ph_Current_RunIn_Cmd_TM1,DC</t>
    <phoneticPr fontId="33" type="noConversion"/>
  </si>
  <si>
    <t>FT_Ph_Current_RunIn_Status_TM1,E0</t>
    <phoneticPr fontId="33" type="noConversion"/>
  </si>
  <si>
    <t>FT_Ph_Current_RunIn_Cmd_TM2,E4</t>
    <phoneticPr fontId="33" type="noConversion"/>
  </si>
  <si>
    <t>FT_Ph_Current_RunIn_Status_TM2,E8</t>
    <phoneticPr fontId="33" type="noConversion"/>
  </si>
  <si>
    <t>HW signal set for Auto PWM_TM1</t>
    <phoneticPr fontId="3" type="noConversion"/>
  </si>
  <si>
    <t>INVTRA_ACT_SC_SEL^</t>
    <phoneticPr fontId="3" type="noConversion"/>
  </si>
  <si>
    <t>INVTRA_FLT_RST_OC</t>
    <phoneticPr fontId="3" type="noConversion"/>
  </si>
  <si>
    <t>INVTRA_FLTOVRD_OC</t>
    <phoneticPr fontId="3" type="noConversion"/>
  </si>
  <si>
    <t>INVTRA_FLTOVRD_OV</t>
    <phoneticPr fontId="3" type="noConversion"/>
  </si>
  <si>
    <t>INVTRA_FLTRST_OV</t>
    <phoneticPr fontId="3" type="noConversion"/>
  </si>
  <si>
    <t>INVTRA_FLTRST_UVLO</t>
    <phoneticPr fontId="3" type="noConversion"/>
  </si>
  <si>
    <t>INVTRA_L3_ASC_TEST</t>
    <phoneticPr fontId="3" type="noConversion"/>
  </si>
  <si>
    <t>INVTRA_MTR_DIS^</t>
    <phoneticPr fontId="3" type="noConversion"/>
  </si>
  <si>
    <t>INVTRA_MTRATEMP1_EN</t>
    <phoneticPr fontId="3" type="noConversion"/>
  </si>
  <si>
    <t>INVTRA_TRQ_SCRTY_DIS^</t>
    <phoneticPr fontId="3" type="noConversion"/>
  </si>
  <si>
    <t>L3_FS_SAFESTATE</t>
    <phoneticPr fontId="3" type="noConversion"/>
  </si>
  <si>
    <t>Initial state</t>
  </si>
  <si>
    <t>Normal Operation PWM</t>
    <phoneticPr fontId="28" type="noConversion"/>
  </si>
  <si>
    <t>Auto Output PWM</t>
    <phoneticPr fontId="28" type="noConversion"/>
  </si>
  <si>
    <t>High（bypass OC fault）</t>
  </si>
  <si>
    <t>High（bypass OV fault）</t>
  </si>
  <si>
    <t>Low or High</t>
  </si>
  <si>
    <r>
      <t>Low</t>
    </r>
    <r>
      <rPr>
        <sz val="10.5"/>
        <rFont val="等线"/>
        <family val="3"/>
        <charset val="134"/>
        <scheme val="minor"/>
      </rPr>
      <t>（the first power on cycle of PSR, this port needs to send a high level to clear the fault）</t>
    </r>
  </si>
  <si>
    <r>
      <t>Low</t>
    </r>
    <r>
      <rPr>
        <sz val="10.5"/>
        <rFont val="等线"/>
        <family val="3"/>
        <charset val="134"/>
        <scheme val="minor"/>
      </rPr>
      <t xml:space="preserve"> </t>
    </r>
    <phoneticPr fontId="28" type="noConversion"/>
  </si>
  <si>
    <r>
      <t>Low</t>
    </r>
    <r>
      <rPr>
        <sz val="10.5"/>
        <rFont val="等线"/>
        <family val="3"/>
        <charset val="134"/>
        <scheme val="minor"/>
      </rPr>
      <t xml:space="preserve"> （the first power on cycle of PSR, this port needs to send a high level to clear the fault）</t>
    </r>
  </si>
  <si>
    <t>HW signal set for Auto PWM_TM2</t>
    <phoneticPr fontId="3" type="noConversion"/>
  </si>
  <si>
    <t>INVTRA_PWM_AHI_PI_Frequency</t>
    <phoneticPr fontId="3" type="noConversion"/>
  </si>
  <si>
    <t>INVTRA_PWM_ALO_PI_Frequency</t>
    <phoneticPr fontId="3" type="noConversion"/>
  </si>
  <si>
    <t>INVTRA_PWM_BHI_PI_Frequency</t>
    <phoneticPr fontId="3" type="noConversion"/>
  </si>
  <si>
    <t>INVTRA_PWM_BLO_PI_Frequency</t>
    <phoneticPr fontId="3" type="noConversion"/>
  </si>
  <si>
    <t>INVTRA_PWM_CHI_PI_Frequency</t>
    <phoneticPr fontId="3" type="noConversion"/>
  </si>
  <si>
    <t>INVTRA_PWM_CLO_PI_Frequency</t>
    <phoneticPr fontId="3" type="noConversion"/>
  </si>
  <si>
    <t>INVTRB_PWM_AHI_PI_Frequency</t>
    <phoneticPr fontId="3" type="noConversion"/>
  </si>
  <si>
    <t>INVTRB_PWM_ALO_PI_Frequency</t>
    <phoneticPr fontId="3" type="noConversion"/>
  </si>
  <si>
    <t>INVTRB_PWM_BHI_PI_Frequency</t>
    <phoneticPr fontId="3" type="noConversion"/>
  </si>
  <si>
    <t>INVTRB_PWM_BLO_PI_Frequency</t>
    <phoneticPr fontId="3" type="noConversion"/>
  </si>
  <si>
    <t>INVTRB_PWM_CHI_PI_Frequency</t>
    <phoneticPr fontId="3" type="noConversion"/>
  </si>
  <si>
    <t>INVTRB_PWM_CLO_PI_Frequency</t>
    <phoneticPr fontId="3" type="noConversion"/>
  </si>
  <si>
    <t>RESA_EXC+_DIAG_Frequency</t>
    <phoneticPr fontId="7" type="noConversion"/>
  </si>
  <si>
    <t>RESA_EXC-_DIAG_Frequency</t>
    <phoneticPr fontId="7" type="noConversion"/>
  </si>
  <si>
    <t>RESB_EXC+_DIAG_Frequency</t>
    <phoneticPr fontId="7" type="noConversion"/>
  </si>
  <si>
    <t>RESB_EXC-_DIAG_Frequency</t>
    <phoneticPr fontId="7" type="noConversion"/>
  </si>
  <si>
    <t>INVTRA_PWM_AHI_PI_Duty_Cycle</t>
    <phoneticPr fontId="3" type="noConversion"/>
  </si>
  <si>
    <t>INVTRA_PWM_ALO_PI_Duty_Cycle</t>
    <phoneticPr fontId="3" type="noConversion"/>
  </si>
  <si>
    <t>INVTRA_PWM_BHI_PI_Duty_Cycle</t>
    <phoneticPr fontId="3" type="noConversion"/>
  </si>
  <si>
    <t>INVTRA_PWM_BLO_PI_Duty_Cycle</t>
    <phoneticPr fontId="3" type="noConversion"/>
  </si>
  <si>
    <t>INVTRA_PWM_CHI_PI_Duty_Cycle</t>
    <phoneticPr fontId="3" type="noConversion"/>
  </si>
  <si>
    <t>INVTRA_PWM_CLO_PI_Duty_Cycle</t>
    <phoneticPr fontId="3" type="noConversion"/>
  </si>
  <si>
    <t>INVTRB_PWM_AHI_PI_Duty_Cycle</t>
    <phoneticPr fontId="3" type="noConversion"/>
  </si>
  <si>
    <t>INVTRB_PWM_ALO_PI_Duty_Cycle</t>
    <phoneticPr fontId="3" type="noConversion"/>
  </si>
  <si>
    <t>INVTRB_PWM_BHI_PI_Duty_Cycle</t>
    <phoneticPr fontId="3" type="noConversion"/>
  </si>
  <si>
    <t>INVTRB_PWM_BLO_PI_Duty_Cycle</t>
    <phoneticPr fontId="3" type="noConversion"/>
  </si>
  <si>
    <t>INVTRB_PWM_CHI_PI_Duty_Cycle</t>
    <phoneticPr fontId="3" type="noConversion"/>
  </si>
  <si>
    <t>INVTRB_PWM_CLO_PI_Duty_Cycle</t>
    <phoneticPr fontId="3" type="noConversion"/>
  </si>
  <si>
    <t>2</t>
    <phoneticPr fontId="3" type="noConversion"/>
  </si>
  <si>
    <t>4</t>
    <phoneticPr fontId="3" type="noConversion"/>
  </si>
  <si>
    <t>22</t>
  </si>
  <si>
    <t>26</t>
  </si>
  <si>
    <t>32</t>
  </si>
  <si>
    <t>36</t>
  </si>
  <si>
    <t>42</t>
  </si>
  <si>
    <t>46</t>
  </si>
  <si>
    <t>52</t>
  </si>
  <si>
    <t>56</t>
  </si>
  <si>
    <t>62</t>
  </si>
  <si>
    <t>66</t>
  </si>
  <si>
    <t>72</t>
  </si>
  <si>
    <t>76</t>
  </si>
  <si>
    <t>80</t>
  </si>
  <si>
    <t>82</t>
  </si>
  <si>
    <t>84</t>
  </si>
  <si>
    <t>6</t>
    <phoneticPr fontId="3" type="noConversion"/>
  </si>
  <si>
    <t>86</t>
  </si>
  <si>
    <t>88</t>
  </si>
  <si>
    <t>90</t>
  </si>
  <si>
    <t>92</t>
  </si>
  <si>
    <t>94</t>
  </si>
  <si>
    <t>96</t>
  </si>
  <si>
    <t>98</t>
  </si>
  <si>
    <t>100</t>
  </si>
  <si>
    <t>102</t>
  </si>
  <si>
    <t>104</t>
  </si>
  <si>
    <t>106</t>
  </si>
  <si>
    <t>108</t>
  </si>
  <si>
    <t>110</t>
  </si>
  <si>
    <t>112</t>
  </si>
  <si>
    <t>114</t>
  </si>
  <si>
    <t>116</t>
  </si>
  <si>
    <t>118</t>
  </si>
  <si>
    <t>120</t>
  </si>
  <si>
    <t>122</t>
  </si>
  <si>
    <t>124</t>
  </si>
  <si>
    <t>INVTRA_DSATLO^</t>
    <phoneticPr fontId="3" type="noConversion"/>
  </si>
  <si>
    <t>Unit16</t>
  </si>
  <si>
    <t xml:space="preserve">FT_Pulse_Outputs        </t>
    <phoneticPr fontId="3" type="noConversion"/>
  </si>
  <si>
    <t>INVTRA_PWM_ALO_C_Duty_Cycle</t>
  </si>
  <si>
    <t>INVTRA_PWM_ALO_C_Frequency</t>
  </si>
  <si>
    <t>INVTRA_PWM_BHI_C_Duty_Cycle</t>
  </si>
  <si>
    <t>INVTRA_PWM_BHI_C_Frequency</t>
  </si>
  <si>
    <t>INVTRA_PWM_BLO_C_Duty_Cycle</t>
  </si>
  <si>
    <t>INVTRA_PWM_BLO_C_Frequency</t>
  </si>
  <si>
    <t>INVTRA_PWM_CHI_C_Duty_Cycle</t>
  </si>
  <si>
    <t>INVTRA_PWM_CHI_C_Frequency</t>
  </si>
  <si>
    <t>INVTRA_PWM_CLO_C_Duty_Cycle</t>
  </si>
  <si>
    <t>INVTRA_PWM_CLO_C_Frequency</t>
  </si>
  <si>
    <t>INVTRB_PWM_AHI_C_Duty_Cycle</t>
  </si>
  <si>
    <t>INVTRB_PWM_AHI_C_Frequency</t>
  </si>
  <si>
    <t>INVTRB_PWM_ALO_C_Duty_Cycle</t>
  </si>
  <si>
    <t>INVTRB_PWM_ALO_C_Frequency</t>
  </si>
  <si>
    <t>INVTRB_PWM_BHI_C_Duty_Cycle</t>
  </si>
  <si>
    <t>INVTRB_PWM_BHI_C_Frequency</t>
  </si>
  <si>
    <t>INVTRB_PWM_BLO_C_Duty_Cycle</t>
  </si>
  <si>
    <t>INVTRB_PWM_BLO_C_Frequency</t>
  </si>
  <si>
    <t>INVTRB_PWM_CHI_C_Duty_Cycle</t>
  </si>
  <si>
    <t>INVTRB_PWM_CHI_C_Frequency</t>
  </si>
  <si>
    <t>INVTRB_PWM_CLO_C_Duty_Cycle</t>
  </si>
  <si>
    <t>INVTRB_PWM_CLO_C_Frequency</t>
  </si>
  <si>
    <t>INVTRA_PWM_AHI_C_Duty_Cycle</t>
    <phoneticPr fontId="3" type="noConversion"/>
  </si>
  <si>
    <t>INVTRA_PWM_AHI_C_Frequency</t>
    <phoneticPr fontId="3" type="noConversion"/>
  </si>
  <si>
    <t>ADC_TEST_CMD_Duty_Cycle</t>
    <phoneticPr fontId="3" type="noConversion"/>
  </si>
  <si>
    <t>ADC_TEST_CMD_Frequency</t>
    <phoneticPr fontId="3" type="noConversion"/>
  </si>
  <si>
    <r>
      <t xml:space="preserve">Send one message to CAN2, </t>
    </r>
    <r>
      <rPr>
        <sz val="11"/>
        <color rgb="FFFF0000"/>
        <rFont val="等线"/>
        <family val="3"/>
        <charset val="134"/>
        <scheme val="minor"/>
      </rPr>
      <t>7EA</t>
    </r>
    <r>
      <rPr>
        <sz val="11"/>
        <color theme="1"/>
        <rFont val="等线"/>
        <family val="2"/>
        <charset val="134"/>
        <scheme val="minor"/>
      </rPr>
      <t xml:space="preserve"> 02 02 02 02 02 02 02 02</t>
    </r>
    <phoneticPr fontId="24" type="noConversion"/>
  </si>
  <si>
    <r>
      <rPr>
        <b/>
        <sz val="11"/>
        <color theme="1"/>
        <rFont val="等线"/>
        <family val="2"/>
        <scheme val="minor"/>
      </rPr>
      <t>CAN2</t>
    </r>
    <r>
      <rPr>
        <sz val="11"/>
        <color theme="1"/>
        <rFont val="等线"/>
        <family val="2"/>
        <charset val="134"/>
        <scheme val="minor"/>
      </rPr>
      <t xml:space="preserve"> channel will response with </t>
    </r>
    <r>
      <rPr>
        <sz val="11"/>
        <color rgb="FFFF0000"/>
        <rFont val="等线"/>
        <family val="3"/>
        <charset val="134"/>
        <scheme val="minor"/>
      </rPr>
      <t>7E2</t>
    </r>
    <r>
      <rPr>
        <sz val="11"/>
        <color theme="1"/>
        <rFont val="等线"/>
        <family val="2"/>
        <charset val="134"/>
        <scheme val="minor"/>
      </rPr>
      <t xml:space="preserve"> 42 42 42 42 42 42 42 42</t>
    </r>
    <phoneticPr fontId="24" type="noConversion"/>
  </si>
  <si>
    <t>FT_Current_Sense_Test_Cmd_Data_TM1,78</t>
    <phoneticPr fontId="24" type="noConversion"/>
  </si>
  <si>
    <t>FT_Current_Sense_Test_Result_Data_TM1,7C</t>
    <phoneticPr fontId="24" type="noConversion"/>
  </si>
  <si>
    <r>
      <t>MCU PWM Port state:
0: disable auto output PWM function
1: Enable  auto output PWM function
TM:</t>
    </r>
    <r>
      <rPr>
        <sz val="10"/>
        <color rgb="FF000000"/>
        <rFont val="宋体"/>
        <family val="2"/>
        <charset val="134"/>
      </rPr>
      <t xml:space="preserve">
</t>
    </r>
    <r>
      <rPr>
        <sz val="10"/>
        <color rgb="FF000000"/>
        <rFont val="Arial"/>
        <family val="2"/>
      </rPr>
      <t>(Frequency</t>
    </r>
    <r>
      <rPr>
        <sz val="10"/>
        <color rgb="FF000000"/>
        <rFont val="微软雅黑"/>
        <family val="2"/>
        <charset val="134"/>
      </rPr>
      <t>：</t>
    </r>
    <r>
      <rPr>
        <sz val="10"/>
        <color rgb="FF000000"/>
        <rFont val="Arial"/>
        <family val="2"/>
      </rPr>
      <t>10kHz, )
Duty Cycle:AU20% BU30% CU40%;AL80% BL70% CL60%</t>
    </r>
    <r>
      <rPr>
        <sz val="10"/>
        <color rgb="FF000000"/>
        <rFont val="微软雅黑"/>
        <family val="2"/>
        <charset val="134"/>
      </rPr>
      <t xml:space="preserve">）
</t>
    </r>
    <r>
      <rPr>
        <sz val="10"/>
        <color indexed="8"/>
        <rFont val="Arial"/>
        <family val="2"/>
      </rPr>
      <t xml:space="preserve">                                                                                            </t>
    </r>
    <phoneticPr fontId="3" type="noConversion"/>
  </si>
  <si>
    <t xml:space="preserve"> </t>
    <phoneticPr fontId="3" type="noConversion"/>
  </si>
  <si>
    <t>HWID</t>
    <phoneticPr fontId="24" type="noConversion"/>
  </si>
  <si>
    <t>VID</t>
    <phoneticPr fontId="24" type="noConversion"/>
  </si>
  <si>
    <t>Deviation</t>
    <phoneticPr fontId="24" type="noConversion"/>
  </si>
  <si>
    <t>A0</t>
    <phoneticPr fontId="24" type="noConversion"/>
  </si>
  <si>
    <t>0.5V</t>
    <phoneticPr fontId="24" type="noConversion"/>
  </si>
  <si>
    <t>2.5V</t>
    <phoneticPr fontId="24" type="noConversion"/>
  </si>
  <si>
    <t>±0.15V</t>
    <phoneticPr fontId="24" type="noConversion"/>
  </si>
  <si>
    <r>
      <t xml:space="preserve">Read hardware version (refer the right table for detail)
</t>
    </r>
    <r>
      <rPr>
        <sz val="11"/>
        <color rgb="FFFF0000"/>
        <rFont val="等线"/>
        <family val="3"/>
        <charset val="134"/>
        <scheme val="minor"/>
      </rPr>
      <t>0:out of range (±0.15V)
1: A0  0.5V</t>
    </r>
    <phoneticPr fontId="24" type="noConversion"/>
  </si>
  <si>
    <r>
      <t xml:space="preserve">Read variant ID,  indicate which type of resolver and motor are being used (refer the right table for detail)
</t>
    </r>
    <r>
      <rPr>
        <sz val="11"/>
        <color rgb="FFFF0000"/>
        <rFont val="等线"/>
        <family val="3"/>
        <charset val="134"/>
        <scheme val="minor"/>
      </rPr>
      <t>0:out of range
1: A0  2.5V</t>
    </r>
    <phoneticPr fontId="24" type="noConversion"/>
  </si>
  <si>
    <t>Rev.</t>
  </si>
  <si>
    <t>REVISION LOG DATE (DDMMYYYY)</t>
  </si>
  <si>
    <t>Initial version, baselined from  RE300 GEN2.0_FT_Locator_V0.3_20241202(A sample)</t>
    <phoneticPr fontId="64" type="noConversion"/>
  </si>
  <si>
    <t xml:space="preserve">default = 50 (TBD),Integral gain of Ids current regulator  </t>
    <phoneticPr fontId="7" type="noConversion"/>
  </si>
  <si>
    <t>default = 50(TBD),Integral gain of Iqs current regulator</t>
    <phoneticPr fontId="3" type="noConversion"/>
  </si>
  <si>
    <t>default = 0.35(TBD),Proportional gain of Ids current regulator</t>
    <phoneticPr fontId="3" type="noConversion"/>
  </si>
  <si>
    <t>default = 0.35(TBD),Proportional gain of Iqs current regulator</t>
    <phoneticPr fontId="3" type="noConversion"/>
  </si>
  <si>
    <t>6</t>
    <phoneticPr fontId="3" type="noConversion"/>
  </si>
  <si>
    <t>0</t>
    <phoneticPr fontId="3" type="noConversion"/>
  </si>
  <si>
    <t>2</t>
    <phoneticPr fontId="3" type="noConversion"/>
  </si>
  <si>
    <t>4</t>
  </si>
  <si>
    <t>4</t>
    <phoneticPr fontId="3" type="noConversion"/>
  </si>
  <si>
    <t>default = 110 （TBD）</t>
    <phoneticPr fontId="7" type="noConversion"/>
  </si>
  <si>
    <t>default = -40 （TBD）</t>
    <phoneticPr fontId="7" type="noConversion"/>
  </si>
  <si>
    <t>default = 160 （TBD）</t>
    <phoneticPr fontId="3" type="noConversion"/>
  </si>
  <si>
    <t>default = 105 （TBD）</t>
    <phoneticPr fontId="3" type="noConversion"/>
  </si>
  <si>
    <t>default = 871 （TBD）</t>
    <phoneticPr fontId="7" type="noConversion"/>
  </si>
  <si>
    <t>default =980 （TBD）</t>
    <phoneticPr fontId="7" type="noConversion"/>
  </si>
  <si>
    <t>default = 400 （TBD）</t>
    <phoneticPr fontId="7" type="noConversion"/>
  </si>
  <si>
    <t>dtc_Motor_Temp2_flt</t>
    <phoneticPr fontId="7" type="noConversion"/>
  </si>
  <si>
    <t xml:space="preserve">dtc_Board_Temp_Flt        </t>
    <phoneticPr fontId="3" type="noConversion"/>
  </si>
  <si>
    <t>SW</t>
    <phoneticPr fontId="3" type="noConversion"/>
  </si>
  <si>
    <t xml:space="preserve">dtc_ZeroSeq_Over_Current_Flt </t>
    <phoneticPr fontId="3" type="noConversion"/>
  </si>
  <si>
    <t>FT_Boost_Status_Data</t>
  </si>
  <si>
    <t>D0</t>
  </si>
  <si>
    <t>NA</t>
  </si>
  <si>
    <t>NA</t>
    <phoneticPr fontId="3" type="noConversion"/>
  </si>
  <si>
    <t>INVTRA_ACT_SC^</t>
    <phoneticPr fontId="3" type="noConversion"/>
  </si>
  <si>
    <t>INVTRA_ENSW</t>
    <phoneticPr fontId="3" type="noConversion"/>
  </si>
  <si>
    <t>INVTRA_FLTRST_UVUP</t>
    <phoneticPr fontId="3" type="noConversion"/>
  </si>
  <si>
    <t>INVTRA_MTRATEMP1_RTN_EN</t>
    <phoneticPr fontId="3" type="noConversion"/>
  </si>
  <si>
    <t>TBD</t>
    <phoneticPr fontId="3" type="noConversion"/>
  </si>
  <si>
    <t>TM2_Speed</t>
    <phoneticPr fontId="24" type="noConversion"/>
  </si>
  <si>
    <t>TM2_Angle</t>
    <phoneticPr fontId="24" type="noConversion"/>
  </si>
  <si>
    <t>TM2_Faults</t>
    <phoneticPr fontId="24" type="noConversion"/>
  </si>
  <si>
    <t>TM1_Speed</t>
    <phoneticPr fontId="24" type="noConversion"/>
  </si>
  <si>
    <t>TM1_Angle</t>
    <phoneticPr fontId="24" type="noConversion"/>
  </si>
  <si>
    <t>TM1_Faults</t>
    <phoneticPr fontId="24" type="noConversion"/>
  </si>
  <si>
    <t xml:space="preserve">request to change the mode, 0~6;
</t>
    <phoneticPr fontId="24" type="noConversion"/>
  </si>
  <si>
    <t>0~6，
FT_Mode_N=6 enter the aging test mode</t>
    <phoneticPr fontId="24" type="noConversion"/>
  </si>
  <si>
    <t>MPI</t>
  </si>
  <si>
    <t>Offset</t>
    <phoneticPr fontId="28" type="noConversion"/>
  </si>
  <si>
    <t>Name</t>
    <phoneticPr fontId="28" type="noConversion"/>
  </si>
  <si>
    <t>Data Type</t>
    <phoneticPr fontId="28" type="noConversion"/>
  </si>
  <si>
    <t>Size(dec)Bytes</t>
    <phoneticPr fontId="28" type="noConversion"/>
  </si>
  <si>
    <t>DEC</t>
    <phoneticPr fontId="28" type="noConversion"/>
  </si>
  <si>
    <t>Hex</t>
    <phoneticPr fontId="28" type="noConversion"/>
  </si>
  <si>
    <t>reserve0</t>
    <phoneticPr fontId="24" type="noConversion"/>
  </si>
  <si>
    <t>uint8</t>
    <phoneticPr fontId="28" type="noConversion"/>
  </si>
  <si>
    <t>reserve1</t>
    <phoneticPr fontId="24" type="noConversion"/>
  </si>
  <si>
    <t>reserve2</t>
    <phoneticPr fontId="24" type="noConversion"/>
  </si>
  <si>
    <t>reserve3</t>
    <phoneticPr fontId="24" type="noConversion"/>
  </si>
  <si>
    <t>cal_year</t>
  </si>
  <si>
    <t>cal_month</t>
  </si>
  <si>
    <t>date_code</t>
  </si>
  <si>
    <t>sequence_number</t>
  </si>
  <si>
    <t>mfg_site</t>
  </si>
  <si>
    <t>Final_Assy_site</t>
  </si>
  <si>
    <t>base_model_pn</t>
  </si>
  <si>
    <t>base_model_suffix</t>
  </si>
  <si>
    <t>end_model_pn</t>
  </si>
  <si>
    <t>end_model_suffix</t>
  </si>
  <si>
    <t>security_constant_ft_delphi</t>
  </si>
  <si>
    <t>security_constant_ft_delphi_sig</t>
    <phoneticPr fontId="24" type="noConversion"/>
  </si>
  <si>
    <t>reserved5</t>
    <phoneticPr fontId="24" type="noConversion"/>
  </si>
  <si>
    <t>security_constant_1</t>
  </si>
  <si>
    <t>security_constant_1_sig</t>
  </si>
  <si>
    <t>security_constant_0x05_0x06</t>
  </si>
  <si>
    <t>security_constant_0x05_0x06_Sig</t>
  </si>
  <si>
    <t>customer_label_number_1</t>
  </si>
  <si>
    <t>customer_label_number_2</t>
  </si>
  <si>
    <t>BorgWarner_Part_Number</t>
  </si>
  <si>
    <t>reserved6</t>
    <phoneticPr fontId="24" type="noConversion"/>
  </si>
  <si>
    <t>mfg_cal_crc</t>
  </si>
  <si>
    <t>uint32</t>
    <phoneticPr fontId="28" type="noConversion"/>
  </si>
  <si>
    <t>mfg_cal_HV_slopeL</t>
  </si>
  <si>
    <t>float32</t>
    <phoneticPr fontId="28" type="noConversion"/>
  </si>
  <si>
    <t>mfg_cal_HV_interceptL</t>
  </si>
  <si>
    <t>mfg_cal_HV_slopeH</t>
  </si>
  <si>
    <t>mfg_cal_HV_interceptH</t>
  </si>
  <si>
    <t>mfg_cal_enable</t>
  </si>
  <si>
    <t>uint16</t>
    <phoneticPr fontId="24" type="noConversion"/>
  </si>
  <si>
    <t>reserved7</t>
    <phoneticPr fontId="24" type="noConversion"/>
  </si>
  <si>
    <t>mfg_cal_coolant_in_temp_a</t>
  </si>
  <si>
    <t>mfg_cal_coolant_in_temp_b</t>
  </si>
  <si>
    <t>mfg_cal_Boost_Current_DC_Gain</t>
  </si>
  <si>
    <t>mfg_cal_Boost_Current_AC_Gain</t>
  </si>
  <si>
    <t>mfg_cal_phase_al_temp_TM_offset</t>
  </si>
  <si>
    <t>mfg_cal_phase_bl_temp_TM_offset</t>
  </si>
  <si>
    <t>mfg_cal_phase_cl_temp_TM_offset</t>
  </si>
  <si>
    <t>mfg_cal_phase_au_temp_TM_offset</t>
  </si>
  <si>
    <t>mfg_cal_phase_cu_temp_TM_offset</t>
  </si>
  <si>
    <t>mfg_cal_phase_a_dc_offset</t>
  </si>
  <si>
    <t>mfg_cal_phase_a_dc_gain</t>
  </si>
  <si>
    <t>mfg_cal_phase_a_ac_gain</t>
  </si>
  <si>
    <t>mfg_cal_phase_b_dc_offset</t>
  </si>
  <si>
    <t>mfg_cal_phase_b_dc_gain</t>
  </si>
  <si>
    <t>mfg_cal_phase_b_ac_gain</t>
  </si>
  <si>
    <t>mfg_cal_phase_c_dc_offset</t>
  </si>
  <si>
    <t>mfg_cal_phase_c_dc_gain</t>
  </si>
  <si>
    <t>mfg_cal_phase_c_ac_gain</t>
  </si>
  <si>
    <t>MFG_MPI_CRC</t>
    <phoneticPr fontId="24" type="noConversion"/>
  </si>
  <si>
    <t>reserve8</t>
    <phoneticPr fontId="24" type="noConversion"/>
  </si>
  <si>
    <t>#EOD</t>
  </si>
  <si>
    <t>mfg_cal_phase_au_temp_TM2_offset</t>
    <phoneticPr fontId="3" type="noConversion"/>
  </si>
  <si>
    <t>mfg_cal_phase_cl_temp_TM2_offset</t>
    <phoneticPr fontId="3" type="noConversion"/>
  </si>
  <si>
    <t>mfg_cal_phase_bl_temp_TM2_offset</t>
    <phoneticPr fontId="3" type="noConversion"/>
  </si>
  <si>
    <t>mfg_cal_phase_al_temp_TM2_offset</t>
    <phoneticPr fontId="3" type="noConversion"/>
  </si>
  <si>
    <t>mfg_cal_phase_a_dc_offset_TM2</t>
    <phoneticPr fontId="3" type="noConversion"/>
  </si>
  <si>
    <t>mfg_cal_phase_a_dc_gain_TM2</t>
    <phoneticPr fontId="3" type="noConversion"/>
  </si>
  <si>
    <t>mfg_cal_phase_a_ac_gain_TM2</t>
    <phoneticPr fontId="3" type="noConversion"/>
  </si>
  <si>
    <t>mfg_cal_phase_b_dc_offset_TM2</t>
    <phoneticPr fontId="3" type="noConversion"/>
  </si>
  <si>
    <t>mfg_cal_phase_b_dc_gain_TM2</t>
    <phoneticPr fontId="3" type="noConversion"/>
  </si>
  <si>
    <t>mfg_cal_phase_b_ac_gain_TM2</t>
    <phoneticPr fontId="3" type="noConversion"/>
  </si>
  <si>
    <t>mfg_cal_phase_c_dc_offset_TM2</t>
    <phoneticPr fontId="3" type="noConversion"/>
  </si>
  <si>
    <t>mfg_cal_phase_c_dc_gain_TM2</t>
    <phoneticPr fontId="3" type="noConversion"/>
  </si>
  <si>
    <t>mfg_cal_phase_c_ac_gain_TM2</t>
    <phoneticPr fontId="3" type="noConversion"/>
  </si>
  <si>
    <t>mfg_cal_phase_cu_temp_TM2_offset</t>
    <phoneticPr fontId="3" type="noConversion"/>
  </si>
  <si>
    <t>mfg_cal_phase_bu_temp_TM2_offset</t>
    <phoneticPr fontId="3" type="noConversion"/>
  </si>
  <si>
    <t>22/07/2025</t>
    <phoneticPr fontId="3" type="noConversion"/>
  </si>
  <si>
    <t>1.0</t>
    <phoneticPr fontId="28" type="noConversion"/>
  </si>
  <si>
    <t>FT_Main_SW_Version_Comments</t>
    <phoneticPr fontId="73" type="noConversion"/>
  </si>
  <si>
    <t>Byte 3</t>
  </si>
  <si>
    <t>Byte 2</t>
  </si>
  <si>
    <t>Byte 1</t>
  </si>
  <si>
    <t>Byte 0</t>
  </si>
  <si>
    <t>Variant</t>
  </si>
  <si>
    <t>Phase</t>
  </si>
  <si>
    <t>Major</t>
  </si>
  <si>
    <t>Minor</t>
  </si>
  <si>
    <r>
      <t>01</t>
    </r>
    <r>
      <rPr>
        <sz val="11"/>
        <rFont val="DengXian"/>
        <charset val="134"/>
      </rPr>
      <t>（大版本）</t>
    </r>
  </si>
  <si>
    <r>
      <t>01</t>
    </r>
    <r>
      <rPr>
        <sz val="11"/>
        <rFont val="DengXian"/>
        <charset val="134"/>
      </rPr>
      <t>（小版本）</t>
    </r>
  </si>
  <si>
    <r>
      <t>0x0B</t>
    </r>
    <r>
      <rPr>
        <sz val="11"/>
        <rFont val="Microsoft YaHei"/>
        <family val="2"/>
      </rPr>
      <t>：</t>
    </r>
    <r>
      <rPr>
        <sz val="11"/>
        <rFont val="Calibri"/>
        <family val="2"/>
      </rPr>
      <t>B sampele</t>
    </r>
  </si>
  <si>
    <r>
      <t>02</t>
    </r>
    <r>
      <rPr>
        <sz val="11"/>
        <rFont val="DengXian"/>
        <charset val="134"/>
      </rPr>
      <t>（大版本）</t>
    </r>
  </si>
  <si>
    <r>
      <t>02</t>
    </r>
    <r>
      <rPr>
        <sz val="11"/>
        <rFont val="DengXian"/>
        <charset val="134"/>
      </rPr>
      <t>（小版本）</t>
    </r>
  </si>
  <si>
    <r>
      <t>0x0C</t>
    </r>
    <r>
      <rPr>
        <sz val="11"/>
        <rFont val="Microsoft YaHei"/>
        <family val="2"/>
      </rPr>
      <t>：</t>
    </r>
    <r>
      <rPr>
        <sz val="11"/>
        <rFont val="Calibri"/>
        <family val="2"/>
      </rPr>
      <t>C sampele</t>
    </r>
  </si>
  <si>
    <t>0x96（Flywheel_C96）</t>
    <phoneticPr fontId="73" type="noConversion"/>
  </si>
  <si>
    <t>0X95（Flywheel_C95）</t>
    <phoneticPr fontId="73" type="noConversion"/>
  </si>
  <si>
    <r>
      <t>0x0A</t>
    </r>
    <r>
      <rPr>
        <sz val="11"/>
        <rFont val="SimSun"/>
        <charset val="134"/>
      </rPr>
      <t>：</t>
    </r>
    <r>
      <rPr>
        <sz val="11"/>
        <rFont val="Calibri"/>
        <family val="2"/>
      </rPr>
      <t>A sampele</t>
    </r>
    <phoneticPr fontId="3" type="noConversion"/>
  </si>
  <si>
    <t>07/08/2025</t>
    <phoneticPr fontId="3" type="noConversion"/>
  </si>
  <si>
    <t>INVTRA_PH_BU_TEMP_PI</t>
    <phoneticPr fontId="3" type="noConversion"/>
  </si>
  <si>
    <t xml:space="preserve"> High</t>
    <phoneticPr fontId="3" type="noConversion"/>
  </si>
  <si>
    <t>dtc_PhB_Lower_Temp_flt</t>
    <phoneticPr fontId="3" type="noConversion"/>
  </si>
  <si>
    <t>AN33/P40.5</t>
    <phoneticPr fontId="3" type="noConversion"/>
  </si>
  <si>
    <t>INVTRB_PH_BU_TEMP_PI</t>
    <phoneticPr fontId="3" type="noConversion"/>
  </si>
  <si>
    <t>INVTRA_MTRATEMP2_EN</t>
    <phoneticPr fontId="3" type="noConversion"/>
  </si>
  <si>
    <t>Initial state</t>
    <phoneticPr fontId="3" type="noConversion"/>
  </si>
  <si>
    <t>mfg_cal_phase_bu_temp_TM_offset</t>
    <phoneticPr fontId="3" type="noConversion"/>
  </si>
  <si>
    <t xml:space="preserve">
1.Update" FT_Analog_Inputs  /FT_Ana_In_Counts/ FT_Analog_Inputs_Max/FT_Analog_Inputs_Min/FT_Ana_In_Counts_Min  " table, 
Adjust signal port link:RED_INVTRB_IOUTA_CURRENT_AIRED_INVTRB_IOUTB_CURRENT_AI
RED_INVTRB_IOUTC_CURRENT_AI   INVTRB_IOUTA_CURRENT_AI  INVTRB_IOUTB_CURRENT_AI
INVTRB_IOUTC_CURRENT_AI
2. Delete  the unused signals  "INVTRA_PH_BU_TEMP_PI / INVTRB_PH_BU_TEMP_PI " in  "FT_Phase_Temp_Inputs ,FT_Phase_Temp_Inputs_Max,FT_Phase_Temp_Inputs_Min " table
3.  Delete  the unused signals  " dtc_PhB_Upper_Temp_flt"  in  "FT_Motor_Status_Data_TM1 /  FT_Motor_Status_Data_TM2 "table
4. Update  Initial state "INVTRA_MTRATEMP1_EN"/INVTRA_MTRATEMP2_EN in  FT_Auto_Output_PWM_Mode_TM1
5.Update  Initial state "INVTRB_MTRATEMP1_EN"/INVTRB_MTRATEMP2_EN in  FT_Auto_Output_PWM_Mode_TM2
6.  Delete  the unused var  " mfg_cal_phase_bu_temp_TM_offset /mfg_cal_phase_bu_temp_TM2_offset" in  16_FT_MPI</t>
    <phoneticPr fontId="3" type="noConversion"/>
  </si>
  <si>
    <t>FT_Motor_Status_Data__TM2,  84(read only)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</si>
</sst>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\ &quot;€&quot;;[Red]\-#,##0.00\ &quot;€&quot;"/>
  </numFmts>
  <fonts count="83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Arial"/>
      <family val="2"/>
    </font>
    <font>
      <b/>
      <sz val="10"/>
      <name val="等线"/>
      <family val="3"/>
      <charset val="134"/>
      <scheme val="minor"/>
    </font>
    <font>
      <b/>
      <sz val="10"/>
      <name val="等线"/>
      <family val="2"/>
      <scheme val="minor"/>
    </font>
    <font>
      <sz val="8"/>
      <name val="等线"/>
      <family val="2"/>
      <scheme val="minor"/>
    </font>
    <font>
      <b/>
      <sz val="11"/>
      <name val="等线"/>
      <family val="2"/>
      <scheme val="minor"/>
    </font>
    <font>
      <sz val="10"/>
      <name val="等线"/>
      <family val="2"/>
      <scheme val="minor"/>
    </font>
    <font>
      <sz val="11"/>
      <color theme="1"/>
      <name val="等线"/>
      <family val="2"/>
      <scheme val="minor"/>
    </font>
    <font>
      <sz val="10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0"/>
      <color rgb="FFFF0000"/>
      <name val="等线"/>
      <family val="2"/>
      <scheme val="minor"/>
    </font>
    <font>
      <strike/>
      <sz val="10"/>
      <color rgb="FFFF0000"/>
      <name val="等线"/>
      <family val="3"/>
      <charset val="134"/>
      <scheme val="minor"/>
    </font>
    <font>
      <strike/>
      <sz val="11"/>
      <color rgb="FFFF0000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Arial"/>
      <family val="2"/>
    </font>
    <font>
      <b/>
      <sz val="11"/>
      <name val="等线"/>
      <family val="3"/>
      <charset val="134"/>
      <scheme val="minor"/>
    </font>
    <font>
      <sz val="12"/>
      <name val="Arial"/>
      <family val="2"/>
    </font>
    <font>
      <sz val="9"/>
      <name val="宋体"/>
      <family val="3"/>
      <charset val="134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0"/>
      <color indexed="8"/>
      <name val="等线"/>
      <family val="2"/>
      <scheme val="minor"/>
    </font>
    <font>
      <b/>
      <sz val="11"/>
      <name val="等线"/>
      <family val="2"/>
      <charset val="134"/>
      <scheme val="minor"/>
    </font>
    <font>
      <sz val="10"/>
      <color indexed="8"/>
      <name val="Arial"/>
      <family val="2"/>
    </font>
    <font>
      <sz val="10"/>
      <color rgb="FF000000"/>
      <name val="宋体"/>
      <family val="2"/>
      <charset val="134"/>
    </font>
    <font>
      <sz val="10"/>
      <color rgb="FF000000"/>
      <name val="Arial"/>
      <family val="2"/>
    </font>
    <font>
      <sz val="10"/>
      <color rgb="FF000000"/>
      <name val="微软雅黑"/>
      <family val="2"/>
      <charset val="134"/>
    </font>
    <font>
      <sz val="10.5"/>
      <name val="等线"/>
      <family val="3"/>
      <charset val="134"/>
    </font>
    <font>
      <sz val="10"/>
      <color rgb="FFFF0000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等线"/>
      <family val="3"/>
      <charset val="134"/>
    </font>
    <font>
      <b/>
      <sz val="10"/>
      <name val="等线"/>
      <family val="3"/>
      <charset val="134"/>
    </font>
    <font>
      <b/>
      <sz val="11"/>
      <color theme="1"/>
      <name val="等线"/>
      <family val="3"/>
      <charset val="134"/>
      <scheme val="minor"/>
    </font>
    <font>
      <sz val="9"/>
      <color rgb="FF538135"/>
      <name val="Courier New"/>
      <family val="3"/>
    </font>
    <font>
      <b/>
      <strike/>
      <sz val="10"/>
      <name val="等线"/>
      <family val="3"/>
      <charset val="134"/>
      <scheme val="minor"/>
    </font>
    <font>
      <b/>
      <sz val="10"/>
      <color theme="1"/>
      <name val="等线"/>
      <family val="2"/>
      <scheme val="minor"/>
    </font>
    <font>
      <b/>
      <sz val="10"/>
      <color rgb="FFFF0000"/>
      <name val="等线"/>
      <family val="3"/>
      <charset val="134"/>
      <scheme val="minor"/>
    </font>
    <font>
      <b/>
      <sz val="10"/>
      <color indexed="8"/>
      <name val="Arial"/>
      <family val="2"/>
    </font>
    <font>
      <b/>
      <sz val="10"/>
      <color indexed="8"/>
      <name val="等线"/>
      <family val="2"/>
      <scheme val="minor"/>
    </font>
    <font>
      <b/>
      <sz val="10"/>
      <color rgb="FF000000"/>
      <name val="Arial"/>
      <family val="2"/>
    </font>
    <font>
      <sz val="10"/>
      <color indexed="8"/>
      <name val="等线"/>
      <family val="3"/>
      <charset val="134"/>
      <scheme val="minor"/>
    </font>
    <font>
      <b/>
      <strike/>
      <sz val="10"/>
      <color rgb="FFFF0000"/>
      <name val="等线"/>
      <family val="3"/>
      <charset val="134"/>
      <scheme val="minor"/>
    </font>
    <font>
      <sz val="10"/>
      <color rgb="FFFF0000"/>
      <name val="等线"/>
      <family val="2"/>
      <scheme val="minor"/>
    </font>
    <font>
      <b/>
      <sz val="10"/>
      <color theme="1"/>
      <name val="Arial"/>
      <family val="2"/>
    </font>
    <font>
      <b/>
      <sz val="11"/>
      <color rgb="FFFF0000"/>
      <name val="等线"/>
      <family val="2"/>
      <scheme val="minor"/>
    </font>
    <font>
      <sz val="10"/>
      <color theme="1"/>
      <name val="DengXian"/>
      <family val="2"/>
      <charset val="134"/>
    </font>
    <font>
      <sz val="11"/>
      <name val="Arial"/>
      <family val="2"/>
    </font>
    <font>
      <b/>
      <sz val="10"/>
      <name val="Arial"/>
      <family val="2"/>
      <charset val="134"/>
    </font>
    <font>
      <sz val="9"/>
      <name val="Arial"/>
      <family val="2"/>
    </font>
    <font>
      <sz val="12"/>
      <name val="宋体"/>
      <family val="3"/>
      <charset val="134"/>
    </font>
    <font>
      <b/>
      <sz val="10"/>
      <color rgb="FFFF0000"/>
      <name val="Arial"/>
      <family val="2"/>
    </font>
    <font>
      <b/>
      <sz val="11"/>
      <color rgb="FF00B050"/>
      <name val="等线"/>
      <family val="2"/>
      <scheme val="minor"/>
    </font>
    <font>
      <b/>
      <strike/>
      <sz val="11"/>
      <color rgb="FFFF0000"/>
      <name val="等线"/>
      <family val="3"/>
      <charset val="134"/>
      <scheme val="minor"/>
    </font>
    <font>
      <sz val="8"/>
      <name val="Arial"/>
      <family val="2"/>
    </font>
    <font>
      <sz val="10.5"/>
      <name val="等线"/>
      <family val="3"/>
      <charset val="134"/>
      <scheme val="minor"/>
    </font>
    <font>
      <sz val="10.5"/>
      <color rgb="FFFF0000"/>
      <name val="等线"/>
      <family val="3"/>
      <charset val="134"/>
      <scheme val="minor"/>
    </font>
    <font>
      <sz val="10.5"/>
      <color rgb="FF000000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trike/>
      <sz val="10"/>
      <color indexed="8"/>
      <name val="等线"/>
      <family val="2"/>
      <scheme val="minor"/>
    </font>
    <font>
      <strike/>
      <sz val="10"/>
      <color indexed="8"/>
      <name val="等线"/>
      <family val="3"/>
      <charset val="134"/>
      <scheme val="minor"/>
    </font>
    <font>
      <b/>
      <sz val="16"/>
      <name val="Arial"/>
      <family val="2"/>
    </font>
    <font>
      <strike/>
      <sz val="10"/>
      <color rgb="FFFF0000"/>
      <name val="Arial"/>
      <family val="2"/>
    </font>
    <font>
      <sz val="9"/>
      <name val="DengXian"/>
      <family val="3"/>
      <charset val="134"/>
    </font>
    <font>
      <sz val="11"/>
      <name val="Calibri"/>
      <family val="2"/>
    </font>
    <font>
      <sz val="10.5"/>
      <name val="DengXian"/>
      <charset val="134"/>
    </font>
    <font>
      <sz val="11"/>
      <name val="SimSun"/>
      <charset val="134"/>
    </font>
    <font>
      <sz val="11"/>
      <name val="DengXian"/>
      <charset val="134"/>
    </font>
    <font>
      <sz val="11"/>
      <name val="Microsoft YaHei"/>
      <family val="2"/>
    </font>
    <font>
      <sz val="10"/>
      <name val="Times New Roman"/>
      <family val="1"/>
    </font>
    <font>
      <sz val="10"/>
      <name val="SimSun"/>
      <charset val="134"/>
    </font>
    <font>
      <u/>
      <sz val="10.5"/>
      <name val="等线"/>
      <family val="3"/>
      <charset val="134"/>
      <scheme val="minor"/>
    </font>
    <font>
      <strike/>
      <sz val="10"/>
      <color rgb="FFFF0000"/>
      <name val="等线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thin">
        <color indexed="64"/>
      </bottom>
      <diagonal/>
    </border>
    <border>
      <left style="medium">
        <color theme="5"/>
      </left>
      <right style="medium">
        <color theme="5"/>
      </right>
      <top style="thin">
        <color indexed="64"/>
      </top>
      <bottom style="thin">
        <color indexed="64"/>
      </bottom>
      <diagonal/>
    </border>
    <border>
      <left style="medium">
        <color theme="5"/>
      </left>
      <right style="medium">
        <color theme="5"/>
      </right>
      <top style="thin">
        <color indexed="64"/>
      </top>
      <bottom style="medium">
        <color theme="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>
      <alignment vertical="center"/>
    </xf>
    <xf numFmtId="0" fontId="4" fillId="0" borderId="0"/>
    <xf numFmtId="0" fontId="10" fillId="0" borderId="0"/>
    <xf numFmtId="0" fontId="4" fillId="0" borderId="0"/>
    <xf numFmtId="0" fontId="4" fillId="0" borderId="0" applyNumberFormat="0" applyFont="0" applyBorder="0" applyAlignment="0" applyProtection="0"/>
    <xf numFmtId="0" fontId="4" fillId="0" borderId="0"/>
    <xf numFmtId="0" fontId="4" fillId="0" borderId="0"/>
    <xf numFmtId="0" fontId="60" fillId="0" borderId="0"/>
    <xf numFmtId="0" fontId="1" fillId="0" borderId="0">
      <alignment vertical="center"/>
    </xf>
  </cellStyleXfs>
  <cellXfs count="458">
    <xf numFmtId="0" fontId="0" fillId="0" borderId="0" xfId="0">
      <alignment vertical="center"/>
    </xf>
    <xf numFmtId="0" fontId="5" fillId="2" borderId="1" xfId="1" applyFont="1" applyFill="1" applyBorder="1" applyAlignment="1">
      <alignment horizontal="left" vertical="center"/>
    </xf>
    <xf numFmtId="0" fontId="8" fillId="2" borderId="1" xfId="1" applyFont="1" applyFill="1" applyBorder="1" applyAlignment="1">
      <alignment horizontal="left" vertical="center"/>
    </xf>
    <xf numFmtId="0" fontId="9" fillId="0" borderId="0" xfId="1" applyFont="1"/>
    <xf numFmtId="0" fontId="10" fillId="0" borderId="0" xfId="2"/>
    <xf numFmtId="0" fontId="13" fillId="0" borderId="0" xfId="2" applyFont="1"/>
    <xf numFmtId="0" fontId="15" fillId="0" borderId="0" xfId="1" applyFont="1" applyAlignment="1">
      <alignment horizontal="left"/>
    </xf>
    <xf numFmtId="0" fontId="9" fillId="0" borderId="1" xfId="1" applyFont="1" applyBorder="1" applyAlignment="1">
      <alignment horizontal="left"/>
    </xf>
    <xf numFmtId="0" fontId="9" fillId="0" borderId="0" xfId="3" applyFont="1" applyAlignment="1">
      <alignment vertical="center" wrapText="1"/>
    </xf>
    <xf numFmtId="0" fontId="16" fillId="0" borderId="0" xfId="1" applyFont="1"/>
    <xf numFmtId="0" fontId="9" fillId="0" borderId="0" xfId="3" applyFont="1"/>
    <xf numFmtId="0" fontId="9" fillId="0" borderId="1" xfId="1" applyFont="1" applyBorder="1" applyAlignment="1">
      <alignment horizontal="center"/>
    </xf>
    <xf numFmtId="0" fontId="20" fillId="0" borderId="3" xfId="1" applyFont="1" applyBorder="1" applyAlignment="1">
      <alignment horizontal="center"/>
    </xf>
    <xf numFmtId="0" fontId="14" fillId="0" borderId="0" xfId="2" applyFont="1" applyAlignment="1">
      <alignment horizontal="left"/>
    </xf>
    <xf numFmtId="0" fontId="10" fillId="0" borderId="0" xfId="2" applyAlignment="1">
      <alignment horizontal="left"/>
    </xf>
    <xf numFmtId="0" fontId="13" fillId="6" borderId="0" xfId="2" applyFont="1" applyFill="1"/>
    <xf numFmtId="49" fontId="10" fillId="0" borderId="0" xfId="2" applyNumberFormat="1"/>
    <xf numFmtId="0" fontId="6" fillId="0" borderId="1" xfId="3" applyFont="1" applyBorder="1" applyAlignment="1">
      <alignment horizontal="center" vertical="center"/>
    </xf>
    <xf numFmtId="0" fontId="6" fillId="0" borderId="1" xfId="3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21" fillId="0" borderId="1" xfId="2" applyFont="1" applyBorder="1" applyAlignment="1">
      <alignment horizontal="center"/>
    </xf>
    <xf numFmtId="0" fontId="13" fillId="6" borderId="0" xfId="2" applyFont="1" applyFill="1" applyAlignment="1">
      <alignment horizontal="center"/>
    </xf>
    <xf numFmtId="0" fontId="10" fillId="0" borderId="0" xfId="2" applyAlignment="1">
      <alignment horizontal="center"/>
    </xf>
    <xf numFmtId="0" fontId="10" fillId="0" borderId="1" xfId="2" applyBorder="1" applyAlignment="1">
      <alignment horizontal="center"/>
    </xf>
    <xf numFmtId="49" fontId="9" fillId="7" borderId="4" xfId="1" applyNumberFormat="1" applyFont="1" applyFill="1" applyBorder="1" applyAlignment="1">
      <alignment horizontal="left" vertical="center"/>
    </xf>
    <xf numFmtId="49" fontId="13" fillId="0" borderId="1" xfId="2" applyNumberFormat="1" applyFont="1" applyBorder="1" applyAlignment="1">
      <alignment horizontal="center" vertical="center"/>
    </xf>
    <xf numFmtId="0" fontId="13" fillId="0" borderId="1" xfId="2" applyFont="1" applyBorder="1"/>
    <xf numFmtId="49" fontId="9" fillId="0" borderId="4" xfId="1" applyNumberFormat="1" applyFont="1" applyBorder="1" applyAlignment="1">
      <alignment horizontal="left" vertical="center"/>
    </xf>
    <xf numFmtId="0" fontId="10" fillId="0" borderId="1" xfId="2" applyBorder="1"/>
    <xf numFmtId="0" fontId="10" fillId="0" borderId="1" xfId="2" applyBorder="1" applyAlignment="1">
      <alignment horizontal="center" vertical="center"/>
    </xf>
    <xf numFmtId="49" fontId="14" fillId="0" borderId="1" xfId="2" applyNumberFormat="1" applyFont="1" applyBorder="1" applyAlignment="1">
      <alignment horizontal="center" vertical="center" wrapText="1"/>
    </xf>
    <xf numFmtId="49" fontId="13" fillId="0" borderId="1" xfId="2" applyNumberFormat="1" applyFont="1" applyBorder="1" applyAlignment="1">
      <alignment horizontal="center" vertical="center" wrapText="1"/>
    </xf>
    <xf numFmtId="49" fontId="10" fillId="0" borderId="0" xfId="2" applyNumberFormat="1" applyAlignment="1">
      <alignment horizontal="left"/>
    </xf>
    <xf numFmtId="0" fontId="10" fillId="6" borderId="0" xfId="2" applyFill="1"/>
    <xf numFmtId="0" fontId="13" fillId="0" borderId="1" xfId="2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8" xfId="3" applyFont="1" applyBorder="1" applyAlignment="1">
      <alignment horizontal="center" vertical="center"/>
    </xf>
    <xf numFmtId="0" fontId="9" fillId="0" borderId="0" xfId="1" applyFont="1" applyAlignment="1">
      <alignment horizontal="left"/>
    </xf>
    <xf numFmtId="0" fontId="6" fillId="0" borderId="1" xfId="1" applyFont="1" applyBorder="1"/>
    <xf numFmtId="0" fontId="6" fillId="0" borderId="1" xfId="3" applyFont="1" applyBorder="1" applyAlignment="1">
      <alignment horizontal="left"/>
    </xf>
    <xf numFmtId="0" fontId="6" fillId="0" borderId="1" xfId="3" applyFont="1" applyBorder="1" applyAlignment="1">
      <alignment horizontal="left" vertical="center"/>
    </xf>
    <xf numFmtId="0" fontId="10" fillId="6" borderId="0" xfId="2" applyFill="1" applyAlignment="1">
      <alignment vertical="center"/>
    </xf>
    <xf numFmtId="0" fontId="10" fillId="0" borderId="0" xfId="2" applyAlignment="1">
      <alignment vertical="center"/>
    </xf>
    <xf numFmtId="49" fontId="14" fillId="0" borderId="1" xfId="4" applyNumberFormat="1" applyFont="1" applyBorder="1" applyAlignment="1">
      <alignment horizontal="center" vertical="center" wrapText="1"/>
    </xf>
    <xf numFmtId="0" fontId="14" fillId="0" borderId="1" xfId="2" applyFont="1" applyBorder="1" applyAlignment="1">
      <alignment horizontal="center"/>
    </xf>
    <xf numFmtId="0" fontId="14" fillId="0" borderId="1" xfId="2" applyFont="1" applyBorder="1"/>
    <xf numFmtId="0" fontId="14" fillId="0" borderId="1" xfId="2" applyFont="1" applyBorder="1" applyAlignment="1" applyProtection="1">
      <alignment horizontal="center" vertical="center" wrapText="1"/>
      <protection hidden="1"/>
    </xf>
    <xf numFmtId="0" fontId="10" fillId="0" borderId="1" xfId="2" applyBorder="1" applyAlignment="1">
      <alignment vertical="center"/>
    </xf>
    <xf numFmtId="49" fontId="25" fillId="0" borderId="0" xfId="2" applyNumberFormat="1" applyFont="1" applyAlignment="1" applyProtection="1">
      <alignment horizontal="center" vertical="center"/>
      <protection hidden="1"/>
    </xf>
    <xf numFmtId="49" fontId="25" fillId="0" borderId="0" xfId="4" applyNumberFormat="1" applyFont="1" applyBorder="1" applyAlignment="1">
      <alignment horizontal="center" vertical="center"/>
    </xf>
    <xf numFmtId="49" fontId="25" fillId="0" borderId="0" xfId="2" applyNumberFormat="1" applyFont="1" applyAlignment="1">
      <alignment horizontal="center" vertical="center"/>
    </xf>
    <xf numFmtId="0" fontId="6" fillId="0" borderId="0" xfId="5" applyFont="1" applyAlignment="1">
      <alignment horizontal="center" vertical="top"/>
    </xf>
    <xf numFmtId="0" fontId="9" fillId="0" borderId="1" xfId="5" applyFont="1" applyBorder="1" applyAlignment="1">
      <alignment horizontal="left"/>
    </xf>
    <xf numFmtId="0" fontId="27" fillId="0" borderId="1" xfId="2" applyFont="1" applyBorder="1" applyAlignment="1" applyProtection="1">
      <alignment horizontal="center" vertical="center"/>
      <protection hidden="1"/>
    </xf>
    <xf numFmtId="0" fontId="25" fillId="0" borderId="0" xfId="2" applyFont="1" applyAlignment="1" applyProtection="1">
      <alignment horizontal="center" vertical="center"/>
      <protection hidden="1"/>
    </xf>
    <xf numFmtId="49" fontId="27" fillId="0" borderId="1" xfId="4" applyNumberFormat="1" applyFont="1" applyBorder="1" applyAlignment="1">
      <alignment horizontal="center" vertical="center"/>
    </xf>
    <xf numFmtId="0" fontId="27" fillId="0" borderId="1" xfId="2" applyFont="1" applyBorder="1" applyAlignment="1" applyProtection="1">
      <alignment horizontal="center" vertical="center" wrapText="1"/>
      <protection hidden="1"/>
    </xf>
    <xf numFmtId="49" fontId="27" fillId="0" borderId="1" xfId="4" applyNumberFormat="1" applyFont="1" applyBorder="1" applyAlignment="1">
      <alignment horizontal="center" vertical="center" wrapText="1"/>
    </xf>
    <xf numFmtId="0" fontId="29" fillId="0" borderId="0" xfId="2" applyFont="1" applyAlignment="1">
      <alignment horizontal="center" vertical="center"/>
    </xf>
    <xf numFmtId="0" fontId="25" fillId="0" borderId="0" xfId="2" applyFont="1" applyAlignment="1">
      <alignment horizontal="center" vertical="center"/>
    </xf>
    <xf numFmtId="0" fontId="9" fillId="0" borderId="1" xfId="5" applyFont="1" applyBorder="1" applyAlignment="1">
      <alignment horizontal="left" vertical="center"/>
    </xf>
    <xf numFmtId="0" fontId="18" fillId="8" borderId="1" xfId="1" applyFont="1" applyFill="1" applyBorder="1" applyAlignment="1">
      <alignment horizontal="center"/>
    </xf>
    <xf numFmtId="0" fontId="17" fillId="8" borderId="1" xfId="1" applyFont="1" applyFill="1" applyBorder="1" applyAlignment="1">
      <alignment horizontal="center"/>
    </xf>
    <xf numFmtId="49" fontId="6" fillId="0" borderId="1" xfId="1" applyNumberFormat="1" applyFont="1" applyBorder="1" applyAlignment="1">
      <alignment horizontal="center"/>
    </xf>
    <xf numFmtId="49" fontId="14" fillId="0" borderId="1" xfId="2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9" fillId="0" borderId="0" xfId="1" applyFont="1" applyAlignment="1">
      <alignment horizontal="left" vertical="center"/>
    </xf>
    <xf numFmtId="49" fontId="9" fillId="0" borderId="0" xfId="1" applyNumberFormat="1" applyFont="1" applyAlignment="1">
      <alignment horizontal="left" vertical="center"/>
    </xf>
    <xf numFmtId="49" fontId="13" fillId="0" borderId="0" xfId="2" applyNumberFormat="1" applyFont="1" applyAlignment="1">
      <alignment horizontal="center" vertical="center"/>
    </xf>
    <xf numFmtId="49" fontId="13" fillId="0" borderId="0" xfId="2" applyNumberFormat="1" applyFont="1" applyAlignment="1">
      <alignment horizontal="center" vertical="center" wrapText="1"/>
    </xf>
    <xf numFmtId="49" fontId="14" fillId="0" borderId="0" xfId="2" applyNumberFormat="1" applyFont="1" applyAlignment="1">
      <alignment horizontal="center" vertical="center" wrapText="1"/>
    </xf>
    <xf numFmtId="0" fontId="13" fillId="6" borderId="11" xfId="2" applyFont="1" applyFill="1" applyBorder="1"/>
    <xf numFmtId="0" fontId="4" fillId="7" borderId="1" xfId="6" applyFill="1" applyBorder="1" applyAlignment="1">
      <alignment horizontal="center" vertical="center"/>
    </xf>
    <xf numFmtId="49" fontId="9" fillId="7" borderId="4" xfId="1" applyNumberFormat="1" applyFont="1" applyFill="1" applyBorder="1" applyAlignment="1">
      <alignment horizontal="center" vertical="center"/>
    </xf>
    <xf numFmtId="49" fontId="9" fillId="0" borderId="4" xfId="1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left" vertical="center"/>
    </xf>
    <xf numFmtId="0" fontId="6" fillId="0" borderId="3" xfId="5" applyFont="1" applyBorder="1" applyAlignment="1">
      <alignment vertical="center"/>
    </xf>
    <xf numFmtId="49" fontId="9" fillId="0" borderId="0" xfId="1" applyNumberFormat="1" applyFont="1" applyAlignment="1">
      <alignment horizontal="center" vertical="center"/>
    </xf>
    <xf numFmtId="0" fontId="4" fillId="0" borderId="0" xfId="6" applyAlignment="1">
      <alignment horizontal="center" vertical="center"/>
    </xf>
    <xf numFmtId="0" fontId="31" fillId="0" borderId="1" xfId="2" applyFont="1" applyBorder="1" applyAlignment="1">
      <alignment horizontal="center" vertical="center"/>
    </xf>
    <xf numFmtId="0" fontId="31" fillId="0" borderId="6" xfId="2" applyFont="1" applyBorder="1" applyAlignment="1">
      <alignment horizontal="center" vertical="center"/>
    </xf>
    <xf numFmtId="0" fontId="34" fillId="0" borderId="8" xfId="2" applyFont="1" applyBorder="1" applyAlignment="1">
      <alignment horizontal="center" vertical="center"/>
    </xf>
    <xf numFmtId="0" fontId="34" fillId="0" borderId="1" xfId="2" applyFont="1" applyBorder="1" applyAlignment="1">
      <alignment horizontal="center" vertical="center"/>
    </xf>
    <xf numFmtId="0" fontId="34" fillId="0" borderId="1" xfId="2" applyFont="1" applyBorder="1" applyAlignment="1">
      <alignment horizontal="center" vertical="center" wrapText="1"/>
    </xf>
    <xf numFmtId="0" fontId="34" fillId="0" borderId="6" xfId="2" applyFont="1" applyBorder="1" applyAlignment="1">
      <alignment horizontal="left" vertical="center" wrapText="1"/>
    </xf>
    <xf numFmtId="0" fontId="38" fillId="0" borderId="1" xfId="2" applyFont="1" applyBorder="1" applyAlignment="1">
      <alignment horizontal="center" vertical="center" wrapText="1"/>
    </xf>
    <xf numFmtId="0" fontId="40" fillId="4" borderId="4" xfId="2" applyFont="1" applyFill="1" applyBorder="1" applyAlignment="1">
      <alignment horizontal="center"/>
    </xf>
    <xf numFmtId="0" fontId="40" fillId="4" borderId="5" xfId="2" applyFont="1" applyFill="1" applyBorder="1" applyAlignment="1">
      <alignment horizontal="center"/>
    </xf>
    <xf numFmtId="0" fontId="40" fillId="4" borderId="2" xfId="2" applyFont="1" applyFill="1" applyBorder="1" applyAlignment="1">
      <alignment horizontal="center"/>
    </xf>
    <xf numFmtId="0" fontId="41" fillId="0" borderId="1" xfId="2" applyFont="1" applyBorder="1"/>
    <xf numFmtId="0" fontId="41" fillId="0" borderId="19" xfId="2" applyFont="1" applyBorder="1"/>
    <xf numFmtId="0" fontId="42" fillId="0" borderId="1" xfId="2" applyFont="1" applyBorder="1"/>
    <xf numFmtId="0" fontId="41" fillId="0" borderId="17" xfId="2" applyFont="1" applyBorder="1"/>
    <xf numFmtId="0" fontId="22" fillId="0" borderId="1" xfId="2" applyFont="1" applyBorder="1"/>
    <xf numFmtId="0" fontId="4" fillId="0" borderId="1" xfId="2" applyFont="1" applyBorder="1"/>
    <xf numFmtId="0" fontId="22" fillId="0" borderId="19" xfId="2" applyFont="1" applyBorder="1"/>
    <xf numFmtId="0" fontId="43" fillId="0" borderId="1" xfId="2" applyFont="1" applyBorder="1"/>
    <xf numFmtId="0" fontId="6" fillId="0" borderId="1" xfId="3" applyFont="1" applyBorder="1"/>
    <xf numFmtId="0" fontId="21" fillId="0" borderId="1" xfId="2" applyFont="1" applyBorder="1"/>
    <xf numFmtId="0" fontId="6" fillId="0" borderId="1" xfId="3" applyFont="1" applyBorder="1" applyAlignment="1">
      <alignment wrapText="1"/>
    </xf>
    <xf numFmtId="0" fontId="32" fillId="0" borderId="1" xfId="3" applyFont="1" applyBorder="1" applyAlignment="1">
      <alignment horizontal="left"/>
    </xf>
    <xf numFmtId="0" fontId="46" fillId="0" borderId="1" xfId="3" applyFont="1" applyBorder="1" applyAlignment="1">
      <alignment horizontal="left" wrapText="1"/>
    </xf>
    <xf numFmtId="0" fontId="32" fillId="0" borderId="1" xfId="3" applyFont="1" applyBorder="1" applyAlignment="1">
      <alignment horizontal="center"/>
    </xf>
    <xf numFmtId="0" fontId="46" fillId="0" borderId="1" xfId="3" applyFont="1" applyBorder="1" applyAlignment="1">
      <alignment horizontal="left" vertical="center" wrapText="1"/>
    </xf>
    <xf numFmtId="0" fontId="10" fillId="0" borderId="6" xfId="2" applyBorder="1"/>
    <xf numFmtId="0" fontId="14" fillId="0" borderId="6" xfId="2" applyFont="1" applyBorder="1"/>
    <xf numFmtId="0" fontId="31" fillId="0" borderId="1" xfId="2" applyFont="1" applyBorder="1" applyAlignment="1">
      <alignment horizontal="left" vertical="center" wrapText="1"/>
    </xf>
    <xf numFmtId="0" fontId="48" fillId="0" borderId="1" xfId="2" applyFont="1" applyBorder="1" applyAlignment="1">
      <alignment horizontal="left" vertical="center" wrapText="1"/>
    </xf>
    <xf numFmtId="0" fontId="14" fillId="0" borderId="6" xfId="2" applyFont="1" applyBorder="1" applyAlignment="1">
      <alignment wrapText="1"/>
    </xf>
    <xf numFmtId="0" fontId="49" fillId="0" borderId="1" xfId="3" applyFont="1" applyBorder="1" applyAlignment="1">
      <alignment horizontal="left" wrapText="1"/>
    </xf>
    <xf numFmtId="0" fontId="10" fillId="0" borderId="1" xfId="2" applyBorder="1" applyAlignment="1">
      <alignment wrapText="1"/>
    </xf>
    <xf numFmtId="0" fontId="14" fillId="0" borderId="1" xfId="2" applyFont="1" applyBorder="1" applyAlignment="1">
      <alignment wrapText="1"/>
    </xf>
    <xf numFmtId="0" fontId="12" fillId="0" borderId="1" xfId="3" applyFont="1" applyBorder="1" applyAlignment="1">
      <alignment horizontal="left"/>
    </xf>
    <xf numFmtId="0" fontId="12" fillId="0" borderId="1" xfId="3" applyFont="1" applyBorder="1" applyAlignment="1">
      <alignment horizontal="center"/>
    </xf>
    <xf numFmtId="0" fontId="12" fillId="0" borderId="3" xfId="3" applyFont="1" applyBorder="1" applyAlignment="1">
      <alignment horizontal="left"/>
    </xf>
    <xf numFmtId="0" fontId="49" fillId="0" borderId="3" xfId="3" applyFont="1" applyBorder="1" applyAlignment="1">
      <alignment horizontal="left" wrapText="1"/>
    </xf>
    <xf numFmtId="0" fontId="12" fillId="0" borderId="3" xfId="3" applyFont="1" applyBorder="1" applyAlignment="1">
      <alignment horizontal="center"/>
    </xf>
    <xf numFmtId="0" fontId="34" fillId="0" borderId="1" xfId="2" applyFont="1" applyBorder="1" applyAlignment="1">
      <alignment horizontal="left" vertical="center" wrapText="1"/>
    </xf>
    <xf numFmtId="0" fontId="9" fillId="0" borderId="1" xfId="3" applyFont="1" applyBorder="1" applyAlignment="1">
      <alignment horizontal="center"/>
    </xf>
    <xf numFmtId="0" fontId="50" fillId="0" borderId="1" xfId="2" applyFont="1" applyBorder="1" applyAlignment="1">
      <alignment horizontal="left" vertical="center" wrapText="1"/>
    </xf>
    <xf numFmtId="0" fontId="6" fillId="0" borderId="1" xfId="6" applyFont="1" applyBorder="1"/>
    <xf numFmtId="0" fontId="9" fillId="0" borderId="1" xfId="6" applyFont="1" applyBorder="1" applyAlignment="1">
      <alignment horizontal="center"/>
    </xf>
    <xf numFmtId="0" fontId="21" fillId="0" borderId="1" xfId="2" applyFont="1" applyBorder="1" applyAlignment="1">
      <alignment vertical="center" wrapText="1"/>
    </xf>
    <xf numFmtId="0" fontId="21" fillId="0" borderId="1" xfId="2" applyFont="1" applyBorder="1" applyAlignment="1">
      <alignment wrapText="1"/>
    </xf>
    <xf numFmtId="0" fontId="31" fillId="0" borderId="1" xfId="2" applyFont="1" applyBorder="1"/>
    <xf numFmtId="0" fontId="9" fillId="0" borderId="0" xfId="6" applyFont="1" applyAlignment="1">
      <alignment horizontal="center"/>
    </xf>
    <xf numFmtId="0" fontId="21" fillId="0" borderId="0" xfId="2" applyFont="1"/>
    <xf numFmtId="0" fontId="10" fillId="0" borderId="0" xfId="2" applyAlignment="1">
      <alignment wrapText="1"/>
    </xf>
    <xf numFmtId="0" fontId="9" fillId="0" borderId="1" xfId="3" applyFont="1" applyBorder="1"/>
    <xf numFmtId="0" fontId="32" fillId="0" borderId="1" xfId="3" applyFont="1" applyBorder="1" applyAlignment="1">
      <alignment vertical="center" wrapText="1"/>
    </xf>
    <xf numFmtId="0" fontId="32" fillId="0" borderId="0" xfId="3" applyFont="1" applyAlignment="1">
      <alignment vertical="center" wrapText="1"/>
    </xf>
    <xf numFmtId="0" fontId="11" fillId="0" borderId="1" xfId="3" applyFont="1" applyBorder="1" applyAlignment="1">
      <alignment vertical="center" wrapText="1"/>
    </xf>
    <xf numFmtId="0" fontId="51" fillId="0" borderId="1" xfId="3" applyFont="1" applyBorder="1" applyAlignment="1">
      <alignment vertical="center" wrapText="1"/>
    </xf>
    <xf numFmtId="0" fontId="12" fillId="0" borderId="1" xfId="3" applyFont="1" applyBorder="1" applyAlignment="1">
      <alignment horizontal="center" vertical="center"/>
    </xf>
    <xf numFmtId="0" fontId="12" fillId="0" borderId="1" xfId="3" applyFont="1" applyBorder="1" applyAlignment="1">
      <alignment vertical="center" wrapText="1"/>
    </xf>
    <xf numFmtId="0" fontId="12" fillId="0" borderId="3" xfId="3" applyFont="1" applyBorder="1" applyAlignment="1">
      <alignment vertical="center" wrapText="1"/>
    </xf>
    <xf numFmtId="0" fontId="10" fillId="0" borderId="20" xfId="2" applyBorder="1" applyAlignment="1">
      <alignment horizontal="center"/>
    </xf>
    <xf numFmtId="0" fontId="32" fillId="0" borderId="2" xfId="3" applyFont="1" applyBorder="1" applyAlignment="1">
      <alignment vertical="center" wrapText="1"/>
    </xf>
    <xf numFmtId="0" fontId="10" fillId="0" borderId="21" xfId="2" applyBorder="1" applyAlignment="1">
      <alignment horizontal="center"/>
    </xf>
    <xf numFmtId="0" fontId="10" fillId="0" borderId="22" xfId="2" applyBorder="1" applyAlignment="1">
      <alignment horizontal="center"/>
    </xf>
    <xf numFmtId="2" fontId="9" fillId="0" borderId="1" xfId="6" applyNumberFormat="1" applyFont="1" applyBorder="1" applyAlignment="1">
      <alignment horizontal="center"/>
    </xf>
    <xf numFmtId="0" fontId="52" fillId="0" borderId="1" xfId="3" applyFont="1" applyBorder="1"/>
    <xf numFmtId="2" fontId="17" fillId="0" borderId="1" xfId="6" applyNumberFormat="1" applyFont="1" applyBorder="1" applyAlignment="1">
      <alignment horizontal="center"/>
    </xf>
    <xf numFmtId="0" fontId="17" fillId="0" borderId="1" xfId="3" applyFont="1" applyBorder="1" applyAlignment="1">
      <alignment vertical="center" wrapText="1"/>
    </xf>
    <xf numFmtId="0" fontId="6" fillId="0" borderId="0" xfId="3" applyFont="1"/>
    <xf numFmtId="2" fontId="9" fillId="0" borderId="0" xfId="6" applyNumberFormat="1" applyFont="1" applyAlignment="1">
      <alignment horizontal="center"/>
    </xf>
    <xf numFmtId="0" fontId="53" fillId="0" borderId="1" xfId="3" applyFont="1" applyBorder="1" applyAlignment="1">
      <alignment vertical="center" wrapText="1"/>
    </xf>
    <xf numFmtId="0" fontId="9" fillId="0" borderId="1" xfId="3" applyFont="1" applyBorder="1" applyAlignment="1">
      <alignment vertical="center" wrapText="1"/>
    </xf>
    <xf numFmtId="0" fontId="31" fillId="0" borderId="1" xfId="3" applyFont="1" applyBorder="1" applyAlignment="1">
      <alignment horizontal="left" vertical="center"/>
    </xf>
    <xf numFmtId="0" fontId="31" fillId="0" borderId="1" xfId="3" applyFont="1" applyBorder="1"/>
    <xf numFmtId="0" fontId="2" fillId="0" borderId="1" xfId="2" applyFont="1" applyBorder="1"/>
    <xf numFmtId="0" fontId="8" fillId="0" borderId="1" xfId="2" applyFont="1" applyBorder="1"/>
    <xf numFmtId="0" fontId="34" fillId="0" borderId="1" xfId="3" applyFont="1" applyBorder="1" applyAlignment="1">
      <alignment horizontal="left"/>
    </xf>
    <xf numFmtId="0" fontId="54" fillId="0" borderId="1" xfId="3" applyFont="1" applyBorder="1" applyAlignment="1">
      <alignment horizontal="left" wrapText="1"/>
    </xf>
    <xf numFmtId="0" fontId="6" fillId="0" borderId="1" xfId="3" applyFont="1" applyBorder="1" applyAlignment="1">
      <alignment horizontal="left" wrapText="1"/>
    </xf>
    <xf numFmtId="0" fontId="13" fillId="0" borderId="6" xfId="2" applyFont="1" applyBorder="1"/>
    <xf numFmtId="0" fontId="31" fillId="0" borderId="1" xfId="2" applyFont="1" applyBorder="1" applyAlignment="1">
      <alignment horizontal="left" wrapText="1"/>
    </xf>
    <xf numFmtId="0" fontId="13" fillId="0" borderId="6" xfId="2" applyFont="1" applyBorder="1" applyAlignment="1">
      <alignment wrapText="1"/>
    </xf>
    <xf numFmtId="0" fontId="48" fillId="0" borderId="1" xfId="3" applyFont="1" applyBorder="1" applyAlignment="1">
      <alignment horizontal="left" wrapText="1"/>
    </xf>
    <xf numFmtId="0" fontId="13" fillId="0" borderId="1" xfId="2" applyFont="1" applyBorder="1" applyAlignment="1">
      <alignment wrapText="1"/>
    </xf>
    <xf numFmtId="0" fontId="31" fillId="0" borderId="1" xfId="3" applyFont="1" applyBorder="1" applyAlignment="1">
      <alignment horizontal="left"/>
    </xf>
    <xf numFmtId="0" fontId="29" fillId="0" borderId="1" xfId="3" applyFont="1" applyBorder="1" applyAlignment="1">
      <alignment horizontal="left"/>
    </xf>
    <xf numFmtId="0" fontId="29" fillId="0" borderId="3" xfId="3" applyFont="1" applyBorder="1" applyAlignment="1">
      <alignment horizontal="left"/>
    </xf>
    <xf numFmtId="0" fontId="48" fillId="0" borderId="3" xfId="3" applyFont="1" applyBorder="1" applyAlignment="1">
      <alignment horizontal="left" wrapText="1"/>
    </xf>
    <xf numFmtId="0" fontId="9" fillId="0" borderId="3" xfId="3" applyFont="1" applyBorder="1" applyAlignment="1">
      <alignment horizontal="center"/>
    </xf>
    <xf numFmtId="0" fontId="4" fillId="0" borderId="1" xfId="2" applyFont="1" applyBorder="1" applyAlignment="1">
      <alignment horizontal="left" wrapText="1"/>
    </xf>
    <xf numFmtId="0" fontId="13" fillId="0" borderId="0" xfId="2" applyFont="1" applyAlignment="1">
      <alignment wrapText="1"/>
    </xf>
    <xf numFmtId="0" fontId="31" fillId="0" borderId="1" xfId="6" applyFont="1" applyBorder="1"/>
    <xf numFmtId="0" fontId="4" fillId="0" borderId="1" xfId="6" applyBorder="1" applyAlignment="1">
      <alignment horizontal="center"/>
    </xf>
    <xf numFmtId="0" fontId="55" fillId="0" borderId="1" xfId="2" applyFont="1" applyBorder="1" applyAlignment="1">
      <alignment wrapText="1"/>
    </xf>
    <xf numFmtId="0" fontId="4" fillId="0" borderId="0" xfId="6" applyAlignment="1">
      <alignment horizontal="center"/>
    </xf>
    <xf numFmtId="0" fontId="2" fillId="0" borderId="0" xfId="2" applyFont="1"/>
    <xf numFmtId="0" fontId="10" fillId="3" borderId="1" xfId="2" applyFill="1" applyBorder="1" applyAlignment="1">
      <alignment horizontal="center" vertical="center"/>
    </xf>
    <xf numFmtId="0" fontId="10" fillId="3" borderId="1" xfId="2" applyFill="1" applyBorder="1" applyAlignment="1">
      <alignment horizontal="center"/>
    </xf>
    <xf numFmtId="0" fontId="43" fillId="3" borderId="1" xfId="2" applyFont="1" applyFill="1" applyBorder="1"/>
    <xf numFmtId="0" fontId="10" fillId="3" borderId="1" xfId="2" applyFill="1" applyBorder="1"/>
    <xf numFmtId="0" fontId="4" fillId="0" borderId="1" xfId="3" applyBorder="1"/>
    <xf numFmtId="0" fontId="34" fillId="0" borderId="1" xfId="3" applyFont="1" applyBorder="1" applyAlignment="1">
      <alignment vertical="center" wrapText="1"/>
    </xf>
    <xf numFmtId="0" fontId="29" fillId="0" borderId="1" xfId="3" applyFont="1" applyBorder="1" applyAlignment="1">
      <alignment horizontal="center" vertical="center"/>
    </xf>
    <xf numFmtId="0" fontId="29" fillId="0" borderId="1" xfId="3" applyFont="1" applyBorder="1" applyAlignment="1">
      <alignment vertical="center" wrapText="1"/>
    </xf>
    <xf numFmtId="0" fontId="29" fillId="0" borderId="3" xfId="3" applyFont="1" applyBorder="1" applyAlignment="1">
      <alignment vertical="center" wrapText="1"/>
    </xf>
    <xf numFmtId="0" fontId="34" fillId="0" borderId="2" xfId="3" applyFont="1" applyBorder="1" applyAlignment="1">
      <alignment vertical="center" wrapText="1"/>
    </xf>
    <xf numFmtId="2" fontId="4" fillId="0" borderId="1" xfId="6" applyNumberFormat="1" applyBorder="1" applyAlignment="1">
      <alignment horizontal="center"/>
    </xf>
    <xf numFmtId="0" fontId="31" fillId="0" borderId="0" xfId="3" applyFont="1"/>
    <xf numFmtId="2" fontId="4" fillId="0" borderId="0" xfId="6" applyNumberFormat="1" applyAlignment="1">
      <alignment horizontal="center"/>
    </xf>
    <xf numFmtId="0" fontId="34" fillId="0" borderId="0" xfId="3" applyFont="1" applyAlignment="1">
      <alignment vertical="center" wrapText="1"/>
    </xf>
    <xf numFmtId="0" fontId="39" fillId="0" borderId="1" xfId="3" applyFont="1" applyBorder="1" applyAlignment="1">
      <alignment vertical="center" wrapText="1"/>
    </xf>
    <xf numFmtId="49" fontId="31" fillId="0" borderId="1" xfId="1" applyNumberFormat="1" applyFont="1" applyBorder="1"/>
    <xf numFmtId="0" fontId="4" fillId="7" borderId="4" xfId="1" applyFill="1" applyBorder="1" applyAlignment="1">
      <alignment horizontal="left"/>
    </xf>
    <xf numFmtId="49" fontId="10" fillId="0" borderId="1" xfId="2" applyNumberFormat="1" applyBorder="1"/>
    <xf numFmtId="0" fontId="4" fillId="0" borderId="4" xfId="1" applyBorder="1" applyAlignment="1">
      <alignment horizontal="left"/>
    </xf>
    <xf numFmtId="49" fontId="22" fillId="0" borderId="1" xfId="2" applyNumberFormat="1" applyFont="1" applyBorder="1"/>
    <xf numFmtId="0" fontId="4" fillId="0" borderId="18" xfId="1" applyBorder="1" applyAlignment="1">
      <alignment horizontal="left"/>
    </xf>
    <xf numFmtId="0" fontId="4" fillId="0" borderId="11" xfId="1" applyBorder="1" applyAlignment="1">
      <alignment horizontal="left"/>
    </xf>
    <xf numFmtId="49" fontId="10" fillId="0" borderId="11" xfId="2" applyNumberFormat="1" applyBorder="1"/>
    <xf numFmtId="0" fontId="10" fillId="0" borderId="11" xfId="2" applyBorder="1"/>
    <xf numFmtId="49" fontId="13" fillId="0" borderId="1" xfId="2" applyNumberFormat="1" applyFont="1" applyBorder="1"/>
    <xf numFmtId="0" fontId="31" fillId="0" borderId="1" xfId="1" applyFont="1" applyBorder="1"/>
    <xf numFmtId="0" fontId="10" fillId="0" borderId="1" xfId="2" applyBorder="1" applyAlignment="1">
      <alignment horizontal="left" vertical="center"/>
    </xf>
    <xf numFmtId="0" fontId="57" fillId="0" borderId="1" xfId="2" applyFont="1" applyBorder="1" applyAlignment="1">
      <alignment vertical="center"/>
    </xf>
    <xf numFmtId="0" fontId="10" fillId="0" borderId="1" xfId="2" applyBorder="1" applyAlignment="1">
      <alignment vertical="center" wrapText="1"/>
    </xf>
    <xf numFmtId="0" fontId="58" fillId="0" borderId="1" xfId="1" applyFont="1" applyBorder="1"/>
    <xf numFmtId="0" fontId="33" fillId="0" borderId="1" xfId="2" applyFont="1" applyBorder="1"/>
    <xf numFmtId="0" fontId="57" fillId="0" borderId="1" xfId="2" applyFont="1" applyBorder="1" applyAlignment="1">
      <alignment horizontal="left"/>
    </xf>
    <xf numFmtId="0" fontId="57" fillId="0" borderId="1" xfId="2" applyFont="1" applyBorder="1"/>
    <xf numFmtId="0" fontId="59" fillId="0" borderId="1" xfId="6" applyFont="1" applyBorder="1" applyAlignment="1">
      <alignment wrapText="1"/>
    </xf>
    <xf numFmtId="0" fontId="30" fillId="0" borderId="1" xfId="2" applyFont="1" applyBorder="1" applyAlignment="1">
      <alignment horizontal="left"/>
    </xf>
    <xf numFmtId="0" fontId="30" fillId="0" borderId="1" xfId="2" applyFont="1" applyBorder="1"/>
    <xf numFmtId="0" fontId="30" fillId="0" borderId="1" xfId="2" applyFont="1" applyBorder="1" applyAlignment="1">
      <alignment horizontal="left" vertical="center"/>
    </xf>
    <xf numFmtId="0" fontId="30" fillId="0" borderId="1" xfId="2" applyFont="1" applyBorder="1" applyAlignment="1">
      <alignment vertical="center"/>
    </xf>
    <xf numFmtId="0" fontId="21" fillId="0" borderId="0" xfId="8" applyFont="1" applyAlignment="1"/>
    <xf numFmtId="0" fontId="62" fillId="0" borderId="0" xfId="8" applyFont="1" applyAlignment="1"/>
    <xf numFmtId="0" fontId="0" fillId="0" borderId="0" xfId="8" applyFont="1" applyAlignment="1"/>
    <xf numFmtId="0" fontId="21" fillId="0" borderId="0" xfId="2" applyFont="1" applyAlignment="1">
      <alignment horizontal="left" vertical="center"/>
    </xf>
    <xf numFmtId="0" fontId="62" fillId="0" borderId="0" xfId="2" applyFont="1"/>
    <xf numFmtId="0" fontId="10" fillId="0" borderId="0" xfId="2" applyAlignment="1">
      <alignment vertical="top" wrapText="1"/>
    </xf>
    <xf numFmtId="0" fontId="57" fillId="0" borderId="1" xfId="2" applyFont="1" applyBorder="1" applyAlignment="1">
      <alignment horizontal="left" vertical="center"/>
    </xf>
    <xf numFmtId="0" fontId="8" fillId="2" borderId="0" xfId="1" applyFont="1" applyFill="1" applyAlignment="1">
      <alignment horizontal="left" vertical="center" wrapText="1"/>
    </xf>
    <xf numFmtId="0" fontId="9" fillId="0" borderId="0" xfId="1" applyFont="1" applyAlignment="1">
      <alignment horizontal="center"/>
    </xf>
    <xf numFmtId="0" fontId="11" fillId="0" borderId="0" xfId="1" applyFont="1" applyAlignment="1">
      <alignment horizontal="left" vertical="center"/>
    </xf>
    <xf numFmtId="0" fontId="8" fillId="2" borderId="4" xfId="1" applyFont="1" applyFill="1" applyBorder="1" applyAlignment="1">
      <alignment horizontal="left" vertical="center" wrapText="1"/>
    </xf>
    <xf numFmtId="0" fontId="18" fillId="8" borderId="4" xfId="1" applyFont="1" applyFill="1" applyBorder="1" applyAlignment="1">
      <alignment horizontal="center"/>
    </xf>
    <xf numFmtId="0" fontId="17" fillId="8" borderId="4" xfId="1" applyFont="1" applyFill="1" applyBorder="1" applyAlignment="1">
      <alignment horizontal="center"/>
    </xf>
    <xf numFmtId="0" fontId="18" fillId="8" borderId="13" xfId="1" applyFont="1" applyFill="1" applyBorder="1" applyAlignment="1">
      <alignment horizontal="center"/>
    </xf>
    <xf numFmtId="0" fontId="10" fillId="0" borderId="0" xfId="2" applyAlignment="1">
      <alignment horizontal="center" vertical="center"/>
    </xf>
    <xf numFmtId="0" fontId="52" fillId="0" borderId="1" xfId="3" applyFont="1" applyBorder="1" applyAlignment="1">
      <alignment horizontal="left" vertical="center"/>
    </xf>
    <xf numFmtId="0" fontId="52" fillId="0" borderId="1" xfId="6" applyFont="1" applyBorder="1"/>
    <xf numFmtId="0" fontId="63" fillId="0" borderId="1" xfId="2" applyFont="1" applyBorder="1"/>
    <xf numFmtId="0" fontId="17" fillId="0" borderId="1" xfId="6" applyFont="1" applyBorder="1" applyAlignment="1">
      <alignment horizontal="center"/>
    </xf>
    <xf numFmtId="0" fontId="27" fillId="9" borderId="1" xfId="2" applyFont="1" applyFill="1" applyBorder="1" applyAlignment="1" applyProtection="1">
      <alignment horizontal="center" vertical="center"/>
      <protection hidden="1"/>
    </xf>
    <xf numFmtId="49" fontId="27" fillId="9" borderId="1" xfId="4" applyNumberFormat="1" applyFont="1" applyFill="1" applyBorder="1" applyAlignment="1">
      <alignment horizontal="center" vertical="center"/>
    </xf>
    <xf numFmtId="176" fontId="27" fillId="9" borderId="1" xfId="2" applyNumberFormat="1" applyFont="1" applyFill="1" applyBorder="1" applyAlignment="1" applyProtection="1">
      <alignment horizontal="center" vertical="center"/>
      <protection hidden="1"/>
    </xf>
    <xf numFmtId="0" fontId="27" fillId="9" borderId="1" xfId="2" applyFont="1" applyFill="1" applyBorder="1" applyAlignment="1" applyProtection="1">
      <alignment horizontal="center" vertical="center" wrapText="1"/>
      <protection hidden="1"/>
    </xf>
    <xf numFmtId="49" fontId="27" fillId="9" borderId="1" xfId="4" applyNumberFormat="1" applyFont="1" applyFill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47" fillId="0" borderId="1" xfId="3" applyFont="1" applyBorder="1"/>
    <xf numFmtId="2" fontId="19" fillId="0" borderId="1" xfId="6" applyNumberFormat="1" applyFont="1" applyBorder="1" applyAlignment="1">
      <alignment horizontal="center"/>
    </xf>
    <xf numFmtId="0" fontId="10" fillId="0" borderId="0" xfId="8" applyFont="1" applyAlignment="1"/>
    <xf numFmtId="0" fontId="21" fillId="0" borderId="1" xfId="2" applyFont="1" applyBorder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0" fillId="0" borderId="10" xfId="0" applyBorder="1" applyAlignment="1">
      <alignment horizontal="center"/>
    </xf>
    <xf numFmtId="0" fontId="43" fillId="0" borderId="9" xfId="0" applyFont="1" applyBorder="1" applyAlignment="1">
      <alignment horizontal="center" vertical="center"/>
    </xf>
    <xf numFmtId="0" fontId="43" fillId="0" borderId="16" xfId="0" applyFont="1" applyBorder="1" applyAlignment="1">
      <alignment horizontal="center" vertical="center"/>
    </xf>
    <xf numFmtId="0" fontId="43" fillId="4" borderId="25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0" borderId="1" xfId="0" applyBorder="1">
      <alignment vertical="center"/>
    </xf>
    <xf numFmtId="49" fontId="0" fillId="0" borderId="1" xfId="0" applyNumberFormat="1" applyBorder="1" applyAlignment="1"/>
    <xf numFmtId="0" fontId="31" fillId="0" borderId="1" xfId="0" applyFont="1" applyBorder="1" applyAlignment="1">
      <alignment horizontal="center" vertical="center"/>
    </xf>
    <xf numFmtId="49" fontId="4" fillId="0" borderId="1" xfId="0" applyNumberFormat="1" applyFont="1" applyBorder="1">
      <alignment vertical="center"/>
    </xf>
    <xf numFmtId="14" fontId="4" fillId="0" borderId="1" xfId="0" applyNumberFormat="1" applyFont="1" applyBorder="1" applyAlignment="1">
      <alignment horizontal="center" vertical="center"/>
    </xf>
    <xf numFmtId="0" fontId="23" fillId="0" borderId="1" xfId="2" applyFont="1" applyBorder="1"/>
    <xf numFmtId="0" fontId="20" fillId="0" borderId="1" xfId="2" applyFont="1" applyBorder="1"/>
    <xf numFmtId="0" fontId="4" fillId="0" borderId="1" xfId="6" applyBorder="1" applyAlignment="1">
      <alignment horizontal="center" vertical="center"/>
    </xf>
    <xf numFmtId="0" fontId="11" fillId="5" borderId="1" xfId="3" applyFont="1" applyFill="1" applyBorder="1" applyAlignment="1">
      <alignment vertical="center" wrapText="1"/>
    </xf>
    <xf numFmtId="0" fontId="32" fillId="5" borderId="1" xfId="3" applyFont="1" applyFill="1" applyBorder="1" applyAlignment="1">
      <alignment vertical="center" wrapText="1"/>
    </xf>
    <xf numFmtId="0" fontId="19" fillId="5" borderId="1" xfId="3" applyFont="1" applyFill="1" applyBorder="1" applyAlignment="1">
      <alignment vertical="center" wrapText="1"/>
    </xf>
    <xf numFmtId="0" fontId="11" fillId="10" borderId="1" xfId="3" applyFont="1" applyFill="1" applyBorder="1" applyAlignment="1">
      <alignment vertical="center" wrapText="1"/>
    </xf>
    <xf numFmtId="49" fontId="9" fillId="0" borderId="1" xfId="1" applyNumberFormat="1" applyFont="1" applyBorder="1" applyAlignment="1">
      <alignment horizontal="center" vertical="center"/>
    </xf>
    <xf numFmtId="0" fontId="31" fillId="0" borderId="1" xfId="3" applyFont="1" applyBorder="1" applyAlignment="1">
      <alignment horizontal="center" vertical="center"/>
    </xf>
    <xf numFmtId="0" fontId="57" fillId="0" borderId="1" xfId="2" applyFont="1" applyBorder="1" applyAlignment="1">
      <alignment horizontal="center"/>
    </xf>
    <xf numFmtId="0" fontId="57" fillId="0" borderId="1" xfId="2" applyFont="1" applyBorder="1" applyAlignment="1">
      <alignment horizontal="center" vertical="center"/>
    </xf>
    <xf numFmtId="0" fontId="13" fillId="0" borderId="0" xfId="2" applyFont="1" applyAlignment="1">
      <alignment horizontal="center"/>
    </xf>
    <xf numFmtId="0" fontId="30" fillId="0" borderId="1" xfId="2" applyFont="1" applyBorder="1" applyAlignment="1">
      <alignment horizontal="center"/>
    </xf>
    <xf numFmtId="0" fontId="30" fillId="0" borderId="1" xfId="2" applyFont="1" applyBorder="1" applyAlignment="1">
      <alignment horizontal="center" vertical="center"/>
    </xf>
    <xf numFmtId="0" fontId="58" fillId="0" borderId="1" xfId="1" applyFont="1" applyBorder="1" applyAlignment="1">
      <alignment horizontal="center"/>
    </xf>
    <xf numFmtId="0" fontId="69" fillId="0" borderId="0" xfId="3" applyFont="1" applyAlignment="1">
      <alignment vertical="center" wrapText="1"/>
    </xf>
    <xf numFmtId="0" fontId="70" fillId="0" borderId="0" xfId="3" applyFont="1" applyAlignment="1">
      <alignment vertical="center" wrapText="1"/>
    </xf>
    <xf numFmtId="0" fontId="10" fillId="4" borderId="0" xfId="2" applyFill="1"/>
    <xf numFmtId="0" fontId="17" fillId="0" borderId="0" xfId="3" applyFont="1" applyAlignment="1">
      <alignment vertical="center" wrapText="1"/>
    </xf>
    <xf numFmtId="0" fontId="65" fillId="0" borderId="1" xfId="2" applyFont="1" applyBorder="1" applyAlignment="1" applyProtection="1">
      <alignment horizontal="center" vertical="center"/>
      <protection hidden="1"/>
    </xf>
    <xf numFmtId="0" fontId="66" fillId="0" borderId="1" xfId="0" applyFont="1" applyBorder="1" applyAlignment="1">
      <alignment horizontal="center" vertical="center" wrapText="1"/>
    </xf>
    <xf numFmtId="0" fontId="65" fillId="0" borderId="1" xfId="0" applyFont="1" applyBorder="1" applyAlignment="1">
      <alignment horizontal="center" vertical="center" wrapText="1"/>
    </xf>
    <xf numFmtId="49" fontId="65" fillId="0" borderId="1" xfId="4" applyNumberFormat="1" applyFont="1" applyBorder="1" applyAlignment="1">
      <alignment horizontal="center" vertical="center"/>
    </xf>
    <xf numFmtId="176" fontId="65" fillId="0" borderId="1" xfId="2" applyNumberFormat="1" applyFont="1" applyBorder="1" applyAlignment="1" applyProtection="1">
      <alignment horizontal="center" vertical="center"/>
      <protection hidden="1"/>
    </xf>
    <xf numFmtId="0" fontId="67" fillId="0" borderId="1" xfId="0" applyFont="1" applyBorder="1" applyAlignment="1">
      <alignment horizontal="center" vertical="center" wrapText="1"/>
    </xf>
    <xf numFmtId="0" fontId="65" fillId="0" borderId="1" xfId="2" applyFont="1" applyBorder="1" applyAlignment="1" applyProtection="1">
      <alignment horizontal="center" vertical="center" wrapText="1"/>
      <protection hidden="1"/>
    </xf>
    <xf numFmtId="0" fontId="4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 vertical="center" wrapText="1" readingOrder="1"/>
    </xf>
    <xf numFmtId="49" fontId="65" fillId="0" borderId="1" xfId="4" applyNumberFormat="1" applyFont="1" applyBorder="1" applyAlignment="1">
      <alignment horizontal="center" vertical="center" wrapText="1"/>
    </xf>
    <xf numFmtId="0" fontId="68" fillId="0" borderId="0" xfId="0" applyFont="1">
      <alignment vertical="center"/>
    </xf>
    <xf numFmtId="0" fontId="11" fillId="0" borderId="1" xfId="1" applyFont="1" applyBorder="1" applyAlignment="1">
      <alignment horizontal="left" vertical="center"/>
    </xf>
    <xf numFmtId="0" fontId="13" fillId="0" borderId="1" xfId="1" applyFont="1" applyBorder="1" applyAlignment="1">
      <alignment horizontal="center" vertical="center"/>
    </xf>
    <xf numFmtId="0" fontId="13" fillId="0" borderId="4" xfId="1" applyFont="1" applyBorder="1" applyAlignment="1">
      <alignment horizontal="center" vertical="center"/>
    </xf>
    <xf numFmtId="0" fontId="11" fillId="0" borderId="2" xfId="1" applyFont="1" applyBorder="1" applyAlignment="1">
      <alignment horizontal="left" vertical="center"/>
    </xf>
    <xf numFmtId="0" fontId="10" fillId="0" borderId="1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11" fillId="0" borderId="1" xfId="1" applyFont="1" applyBorder="1" applyAlignment="1">
      <alignment horizontal="left"/>
    </xf>
    <xf numFmtId="0" fontId="14" fillId="0" borderId="1" xfId="1" applyFont="1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0" fontId="13" fillId="0" borderId="13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/>
    </xf>
    <xf numFmtId="0" fontId="11" fillId="0" borderId="2" xfId="1" applyFont="1" applyBorder="1" applyAlignment="1">
      <alignment horizontal="left"/>
    </xf>
    <xf numFmtId="0" fontId="10" fillId="0" borderId="4" xfId="1" applyFont="1" applyBorder="1" applyAlignment="1">
      <alignment horizontal="center"/>
    </xf>
    <xf numFmtId="0" fontId="13" fillId="0" borderId="4" xfId="1" applyFont="1" applyBorder="1" applyAlignment="1">
      <alignment horizontal="center"/>
    </xf>
    <xf numFmtId="0" fontId="13" fillId="0" borderId="13" xfId="1" applyFont="1" applyBorder="1" applyAlignment="1">
      <alignment horizontal="center"/>
    </xf>
    <xf numFmtId="0" fontId="22" fillId="0" borderId="1" xfId="2" applyFont="1" applyBorder="1" applyAlignment="1">
      <alignment horizontal="center" vertical="center"/>
    </xf>
    <xf numFmtId="0" fontId="14" fillId="0" borderId="1" xfId="2" applyFont="1" applyBorder="1" applyAlignment="1">
      <alignment horizontal="center" vertical="center"/>
    </xf>
    <xf numFmtId="0" fontId="17" fillId="8" borderId="2" xfId="1" applyFont="1" applyFill="1" applyBorder="1" applyAlignment="1">
      <alignment horizontal="left" vertical="center"/>
    </xf>
    <xf numFmtId="0" fontId="17" fillId="8" borderId="1" xfId="1" applyFont="1" applyFill="1" applyBorder="1" applyAlignment="1">
      <alignment horizontal="left" vertical="center"/>
    </xf>
    <xf numFmtId="0" fontId="17" fillId="8" borderId="1" xfId="1" applyFont="1" applyFill="1" applyBorder="1" applyAlignment="1">
      <alignment horizontal="left"/>
    </xf>
    <xf numFmtId="0" fontId="13" fillId="8" borderId="13" xfId="1" applyFont="1" applyFill="1" applyBorder="1" applyAlignment="1">
      <alignment horizontal="center"/>
    </xf>
    <xf numFmtId="0" fontId="12" fillId="0" borderId="1" xfId="1" applyFont="1" applyBorder="1" applyAlignment="1">
      <alignment horizontal="left" vertical="center"/>
    </xf>
    <xf numFmtId="0" fontId="20" fillId="0" borderId="1" xfId="1" applyFont="1" applyBorder="1" applyAlignment="1">
      <alignment horizontal="center"/>
    </xf>
    <xf numFmtId="0" fontId="14" fillId="0" borderId="4" xfId="1" applyFont="1" applyBorder="1" applyAlignment="1">
      <alignment horizontal="center"/>
    </xf>
    <xf numFmtId="0" fontId="14" fillId="0" borderId="13" xfId="1" applyFont="1" applyBorder="1" applyAlignment="1">
      <alignment horizontal="center"/>
    </xf>
    <xf numFmtId="0" fontId="15" fillId="0" borderId="1" xfId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4" fillId="0" borderId="3" xfId="1" applyFont="1" applyBorder="1" applyAlignment="1">
      <alignment horizontal="center"/>
    </xf>
    <xf numFmtId="0" fontId="9" fillId="0" borderId="4" xfId="1" applyFont="1" applyBorder="1" applyAlignment="1">
      <alignment horizontal="center"/>
    </xf>
    <xf numFmtId="0" fontId="9" fillId="0" borderId="13" xfId="1" applyFont="1" applyBorder="1" applyAlignment="1">
      <alignment horizontal="center"/>
    </xf>
    <xf numFmtId="0" fontId="12" fillId="0" borderId="4" xfId="1" applyFont="1" applyBorder="1" applyAlignment="1">
      <alignment horizontal="center"/>
    </xf>
    <xf numFmtId="0" fontId="12" fillId="0" borderId="13" xfId="1" applyFont="1" applyBorder="1" applyAlignment="1">
      <alignment horizontal="center"/>
    </xf>
    <xf numFmtId="0" fontId="15" fillId="0" borderId="1" xfId="1" applyFont="1" applyBorder="1" applyAlignment="1">
      <alignment horizontal="left"/>
    </xf>
    <xf numFmtId="0" fontId="12" fillId="0" borderId="1" xfId="1" applyFont="1" applyBorder="1" applyAlignment="1">
      <alignment horizontal="center"/>
    </xf>
    <xf numFmtId="0" fontId="12" fillId="0" borderId="1" xfId="1" applyFont="1" applyBorder="1" applyAlignment="1">
      <alignment horizontal="left"/>
    </xf>
    <xf numFmtId="0" fontId="9" fillId="0" borderId="0" xfId="1" applyFont="1" applyAlignment="1">
      <alignment vertical="center" wrapText="1"/>
    </xf>
    <xf numFmtId="0" fontId="17" fillId="8" borderId="23" xfId="1" applyFont="1" applyFill="1" applyBorder="1" applyAlignment="1">
      <alignment horizontal="center"/>
    </xf>
    <xf numFmtId="0" fontId="17" fillId="8" borderId="24" xfId="1" applyFont="1" applyFill="1" applyBorder="1" applyAlignment="1">
      <alignment horizontal="center"/>
    </xf>
    <xf numFmtId="0" fontId="17" fillId="8" borderId="14" xfId="1" applyFont="1" applyFill="1" applyBorder="1" applyAlignment="1">
      <alignment horizontal="center"/>
    </xf>
    <xf numFmtId="0" fontId="17" fillId="8" borderId="5" xfId="1" applyFont="1" applyFill="1" applyBorder="1" applyAlignment="1">
      <alignment horizontal="left" vertical="center"/>
    </xf>
    <xf numFmtId="0" fontId="71" fillId="12" borderId="1" xfId="5" applyFont="1" applyFill="1" applyBorder="1" applyAlignment="1">
      <alignment horizontal="center" vertical="center"/>
    </xf>
    <xf numFmtId="0" fontId="64" fillId="0" borderId="17" xfId="2" applyFont="1" applyBorder="1" applyAlignment="1">
      <alignment horizontal="left" wrapText="1"/>
    </xf>
    <xf numFmtId="0" fontId="4" fillId="0" borderId="1" xfId="2" applyFont="1" applyBorder="1" applyAlignment="1">
      <alignment horizontal="center" vertical="center"/>
    </xf>
    <xf numFmtId="0" fontId="4" fillId="0" borderId="1" xfId="2" applyFont="1" applyBorder="1" applyAlignment="1">
      <alignment horizontal="center"/>
    </xf>
    <xf numFmtId="0" fontId="64" fillId="0" borderId="1" xfId="2" applyFont="1" applyBorder="1" applyAlignment="1">
      <alignment horizontal="center" wrapText="1"/>
    </xf>
    <xf numFmtId="0" fontId="31" fillId="0" borderId="1" xfId="2" applyFont="1" applyBorder="1" applyAlignment="1">
      <alignment horizontal="center" wrapText="1"/>
    </xf>
    <xf numFmtId="0" fontId="72" fillId="0" borderId="1" xfId="2" applyFont="1" applyBorder="1" applyAlignment="1">
      <alignment horizontal="left" wrapText="1"/>
    </xf>
    <xf numFmtId="0" fontId="74" fillId="0" borderId="8" xfId="0" applyFont="1" applyBorder="1" applyAlignment="1">
      <alignment horizontal="center" vertical="center" wrapText="1"/>
    </xf>
    <xf numFmtId="0" fontId="74" fillId="0" borderId="1" xfId="0" applyFont="1" applyBorder="1" applyAlignment="1">
      <alignment horizontal="center" vertical="center" wrapText="1"/>
    </xf>
    <xf numFmtId="0" fontId="74" fillId="0" borderId="6" xfId="0" applyFont="1" applyBorder="1" applyAlignment="1">
      <alignment horizontal="center" vertical="center" wrapText="1"/>
    </xf>
    <xf numFmtId="0" fontId="75" fillId="0" borderId="14" xfId="0" applyFont="1" applyBorder="1" applyAlignment="1">
      <alignment horizontal="center" vertical="center" wrapText="1"/>
    </xf>
    <xf numFmtId="0" fontId="74" fillId="0" borderId="27" xfId="0" applyFont="1" applyBorder="1" applyAlignment="1">
      <alignment horizontal="center" vertical="center" wrapText="1"/>
    </xf>
    <xf numFmtId="0" fontId="79" fillId="0" borderId="14" xfId="0" applyFont="1" applyBorder="1" applyAlignment="1">
      <alignment vertical="top" wrapText="1"/>
    </xf>
    <xf numFmtId="0" fontId="80" fillId="0" borderId="27" xfId="0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74" fillId="0" borderId="29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49" fontId="81" fillId="13" borderId="1" xfId="4" applyNumberFormat="1" applyFont="1" applyFill="1" applyBorder="1" applyAlignment="1">
      <alignment horizontal="center" vertical="center"/>
    </xf>
    <xf numFmtId="0" fontId="81" fillId="13" borderId="1" xfId="2" applyFont="1" applyFill="1" applyBorder="1" applyAlignment="1" applyProtection="1">
      <alignment horizontal="center" vertical="center"/>
      <protection hidden="1"/>
    </xf>
    <xf numFmtId="49" fontId="65" fillId="3" borderId="1" xfId="4" applyNumberFormat="1" applyFont="1" applyFill="1" applyBorder="1" applyAlignment="1">
      <alignment horizontal="center" vertical="center" wrapText="1"/>
    </xf>
    <xf numFmtId="0" fontId="67" fillId="3" borderId="1" xfId="0" applyFont="1" applyFill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/>
    </xf>
    <xf numFmtId="0" fontId="17" fillId="3" borderId="1" xfId="3" applyFont="1" applyFill="1" applyBorder="1" applyAlignment="1">
      <alignment vertical="center" wrapText="1"/>
    </xf>
    <xf numFmtId="49" fontId="13" fillId="3" borderId="1" xfId="2" applyNumberFormat="1" applyFont="1" applyFill="1" applyBorder="1" applyAlignment="1">
      <alignment horizontal="center" vertical="center"/>
    </xf>
    <xf numFmtId="0" fontId="82" fillId="3" borderId="1" xfId="1" applyFont="1" applyFill="1" applyBorder="1" applyAlignment="1">
      <alignment horizontal="center"/>
    </xf>
    <xf numFmtId="0" fontId="82" fillId="3" borderId="1" xfId="3" applyFont="1" applyFill="1" applyBorder="1" applyAlignment="1">
      <alignment vertical="center" wrapText="1"/>
    </xf>
    <xf numFmtId="0" fontId="66" fillId="3" borderId="1" xfId="0" applyFont="1" applyFill="1" applyBorder="1" applyAlignment="1">
      <alignment horizontal="center" vertical="center" wrapText="1" readingOrder="1"/>
    </xf>
    <xf numFmtId="0" fontId="72" fillId="3" borderId="1" xfId="2" applyFont="1" applyFill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31" fillId="0" borderId="1" xfId="0" applyFont="1" applyBorder="1">
      <alignment vertical="center"/>
    </xf>
    <xf numFmtId="0" fontId="4" fillId="0" borderId="1" xfId="0" applyFont="1" applyBorder="1" applyAlignment="1">
      <alignment horizontal="left" vertical="top" wrapText="1"/>
    </xf>
    <xf numFmtId="0" fontId="14" fillId="0" borderId="23" xfId="1" applyFont="1" applyBorder="1" applyAlignment="1">
      <alignment horizontal="center" vertical="center"/>
    </xf>
    <xf numFmtId="0" fontId="14" fillId="0" borderId="14" xfId="1" applyFont="1" applyBorder="1" applyAlignment="1">
      <alignment horizontal="center" vertical="center"/>
    </xf>
    <xf numFmtId="0" fontId="10" fillId="0" borderId="23" xfId="2" applyBorder="1" applyAlignment="1">
      <alignment horizontal="center" vertical="center"/>
    </xf>
    <xf numFmtId="0" fontId="10" fillId="0" borderId="14" xfId="2" applyBorder="1" applyAlignment="1">
      <alignment horizontal="center" vertical="center"/>
    </xf>
    <xf numFmtId="0" fontId="12" fillId="0" borderId="23" xfId="1" applyFont="1" applyBorder="1" applyAlignment="1">
      <alignment horizontal="center" vertical="center"/>
    </xf>
    <xf numFmtId="0" fontId="12" fillId="0" borderId="24" xfId="1" applyFont="1" applyBorder="1" applyAlignment="1">
      <alignment horizontal="center" vertical="center"/>
    </xf>
    <xf numFmtId="0" fontId="12" fillId="0" borderId="14" xfId="1" applyFont="1" applyBorder="1" applyAlignment="1">
      <alignment horizontal="center" vertical="center"/>
    </xf>
    <xf numFmtId="0" fontId="13" fillId="0" borderId="23" xfId="1" applyFont="1" applyBorder="1" applyAlignment="1">
      <alignment horizontal="center" vertical="center"/>
    </xf>
    <xf numFmtId="0" fontId="13" fillId="0" borderId="24" xfId="1" applyFont="1" applyBorder="1" applyAlignment="1">
      <alignment horizontal="center" vertical="center"/>
    </xf>
    <xf numFmtId="0" fontId="13" fillId="0" borderId="14" xfId="1" applyFont="1" applyBorder="1" applyAlignment="1">
      <alignment horizontal="center" vertical="center"/>
    </xf>
    <xf numFmtId="0" fontId="10" fillId="0" borderId="23" xfId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/>
    </xf>
    <xf numFmtId="0" fontId="10" fillId="0" borderId="14" xfId="1" applyFont="1" applyBorder="1" applyAlignment="1">
      <alignment horizontal="center" vertical="center"/>
    </xf>
    <xf numFmtId="0" fontId="14" fillId="0" borderId="24" xfId="1" applyFont="1" applyBorder="1" applyAlignment="1">
      <alignment horizontal="center" vertical="center"/>
    </xf>
    <xf numFmtId="0" fontId="6" fillId="4" borderId="4" xfId="1" applyFont="1" applyFill="1" applyBorder="1" applyAlignment="1">
      <alignment horizontal="center"/>
    </xf>
    <xf numFmtId="0" fontId="6" fillId="4" borderId="5" xfId="1" applyFont="1" applyFill="1" applyBorder="1" applyAlignment="1">
      <alignment horizontal="center"/>
    </xf>
    <xf numFmtId="0" fontId="6" fillId="4" borderId="2" xfId="1" applyFont="1" applyFill="1" applyBorder="1" applyAlignment="1">
      <alignment horizontal="center"/>
    </xf>
    <xf numFmtId="0" fontId="6" fillId="4" borderId="18" xfId="1" applyFont="1" applyFill="1" applyBorder="1" applyAlignment="1">
      <alignment horizontal="center" wrapText="1"/>
    </xf>
    <xf numFmtId="0" fontId="6" fillId="4" borderId="11" xfId="1" applyFont="1" applyFill="1" applyBorder="1" applyAlignment="1">
      <alignment horizontal="center" wrapText="1"/>
    </xf>
    <xf numFmtId="0" fontId="6" fillId="4" borderId="12" xfId="1" applyFont="1" applyFill="1" applyBorder="1" applyAlignment="1">
      <alignment horizontal="center"/>
    </xf>
    <xf numFmtId="0" fontId="6" fillId="4" borderId="11" xfId="1" applyFont="1" applyFill="1" applyBorder="1" applyAlignment="1">
      <alignment horizontal="center"/>
    </xf>
    <xf numFmtId="0" fontId="26" fillId="4" borderId="15" xfId="2" applyFont="1" applyFill="1" applyBorder="1" applyAlignment="1">
      <alignment horizontal="center"/>
    </xf>
    <xf numFmtId="0" fontId="26" fillId="4" borderId="0" xfId="2" applyFont="1" applyFill="1" applyAlignment="1">
      <alignment horizontal="center"/>
    </xf>
    <xf numFmtId="0" fontId="5" fillId="4" borderId="10" xfId="1" applyFont="1" applyFill="1" applyBorder="1" applyAlignment="1">
      <alignment horizontal="center" wrapText="1"/>
    </xf>
    <xf numFmtId="0" fontId="5" fillId="4" borderId="9" xfId="1" applyFont="1" applyFill="1" applyBorder="1" applyAlignment="1">
      <alignment horizontal="center"/>
    </xf>
    <xf numFmtId="0" fontId="31" fillId="4" borderId="18" xfId="1" applyFont="1" applyFill="1" applyBorder="1" applyAlignment="1">
      <alignment horizontal="center"/>
    </xf>
    <xf numFmtId="0" fontId="31" fillId="4" borderId="11" xfId="1" applyFont="1" applyFill="1" applyBorder="1" applyAlignment="1">
      <alignment horizontal="center"/>
    </xf>
    <xf numFmtId="0" fontId="31" fillId="4" borderId="1" xfId="1" applyFont="1" applyFill="1" applyBorder="1" applyAlignment="1">
      <alignment horizontal="center"/>
    </xf>
    <xf numFmtId="0" fontId="4" fillId="0" borderId="10" xfId="5" applyBorder="1" applyAlignment="1">
      <alignment horizontal="center" vertical="center"/>
    </xf>
    <xf numFmtId="0" fontId="4" fillId="0" borderId="9" xfId="5" applyBorder="1" applyAlignment="1">
      <alignment horizontal="center" vertical="center"/>
    </xf>
    <xf numFmtId="0" fontId="4" fillId="0" borderId="16" xfId="5" applyBorder="1" applyAlignment="1">
      <alignment horizontal="center" vertical="center"/>
    </xf>
    <xf numFmtId="0" fontId="31" fillId="5" borderId="18" xfId="1" applyFont="1" applyFill="1" applyBorder="1" applyAlignment="1">
      <alignment horizontal="center"/>
    </xf>
    <xf numFmtId="0" fontId="31" fillId="5" borderId="11" xfId="1" applyFont="1" applyFill="1" applyBorder="1" applyAlignment="1">
      <alignment horizontal="center"/>
    </xf>
    <xf numFmtId="0" fontId="46" fillId="0" borderId="1" xfId="3" applyFont="1" applyBorder="1" applyAlignment="1">
      <alignment horizontal="center" vertical="center" wrapText="1"/>
    </xf>
    <xf numFmtId="0" fontId="6" fillId="4" borderId="15" xfId="3" applyFont="1" applyFill="1" applyBorder="1" applyAlignment="1">
      <alignment horizontal="center"/>
    </xf>
    <xf numFmtId="0" fontId="6" fillId="4" borderId="0" xfId="3" applyFont="1" applyFill="1" applyAlignment="1">
      <alignment horizontal="center"/>
    </xf>
    <xf numFmtId="0" fontId="5" fillId="3" borderId="15" xfId="3" applyFont="1" applyFill="1" applyBorder="1" applyAlignment="1">
      <alignment horizontal="center"/>
    </xf>
    <xf numFmtId="0" fontId="5" fillId="3" borderId="0" xfId="3" applyFont="1" applyFill="1" applyAlignment="1">
      <alignment horizontal="center"/>
    </xf>
    <xf numFmtId="0" fontId="6" fillId="4" borderId="4" xfId="6" applyFont="1" applyFill="1" applyBorder="1" applyAlignment="1">
      <alignment horizontal="center"/>
    </xf>
    <xf numFmtId="0" fontId="6" fillId="4" borderId="5" xfId="6" applyFont="1" applyFill="1" applyBorder="1" applyAlignment="1">
      <alignment horizontal="center"/>
    </xf>
    <xf numFmtId="0" fontId="6" fillId="4" borderId="2" xfId="6" applyFont="1" applyFill="1" applyBorder="1" applyAlignment="1">
      <alignment horizontal="center"/>
    </xf>
    <xf numFmtId="0" fontId="5" fillId="3" borderId="4" xfId="6" applyFont="1" applyFill="1" applyBorder="1" applyAlignment="1">
      <alignment horizontal="center"/>
    </xf>
    <xf numFmtId="0" fontId="5" fillId="3" borderId="5" xfId="6" applyFont="1" applyFill="1" applyBorder="1" applyAlignment="1">
      <alignment horizontal="center"/>
    </xf>
    <xf numFmtId="0" fontId="5" fillId="3" borderId="2" xfId="6" applyFont="1" applyFill="1" applyBorder="1" applyAlignment="1">
      <alignment horizontal="center"/>
    </xf>
    <xf numFmtId="0" fontId="6" fillId="4" borderId="4" xfId="3" applyFont="1" applyFill="1" applyBorder="1" applyAlignment="1">
      <alignment horizontal="center"/>
    </xf>
    <xf numFmtId="0" fontId="6" fillId="4" borderId="5" xfId="3" applyFont="1" applyFill="1" applyBorder="1" applyAlignment="1">
      <alignment horizontal="center"/>
    </xf>
    <xf numFmtId="0" fontId="6" fillId="4" borderId="2" xfId="3" applyFont="1" applyFill="1" applyBorder="1" applyAlignment="1">
      <alignment horizontal="center"/>
    </xf>
    <xf numFmtId="0" fontId="5" fillId="3" borderId="4" xfId="3" applyFont="1" applyFill="1" applyBorder="1" applyAlignment="1">
      <alignment horizontal="center"/>
    </xf>
    <xf numFmtId="0" fontId="5" fillId="3" borderId="5" xfId="3" applyFont="1" applyFill="1" applyBorder="1" applyAlignment="1">
      <alignment horizontal="center"/>
    </xf>
    <xf numFmtId="0" fontId="5" fillId="3" borderId="2" xfId="3" applyFont="1" applyFill="1" applyBorder="1" applyAlignment="1">
      <alignment horizontal="center"/>
    </xf>
    <xf numFmtId="0" fontId="32" fillId="0" borderId="1" xfId="3" applyFont="1" applyBorder="1" applyAlignment="1">
      <alignment horizontal="center" vertical="center"/>
    </xf>
    <xf numFmtId="0" fontId="32" fillId="0" borderId="3" xfId="3" applyFont="1" applyBorder="1" applyAlignment="1">
      <alignment horizontal="center" vertical="center"/>
    </xf>
    <xf numFmtId="0" fontId="32" fillId="0" borderId="17" xfId="3" applyFont="1" applyBorder="1" applyAlignment="1">
      <alignment horizontal="center" vertical="center"/>
    </xf>
    <xf numFmtId="0" fontId="32" fillId="0" borderId="19" xfId="3" applyFont="1" applyBorder="1" applyAlignment="1">
      <alignment horizontal="center" vertical="center"/>
    </xf>
    <xf numFmtId="0" fontId="46" fillId="0" borderId="4" xfId="3" applyFont="1" applyBorder="1" applyAlignment="1">
      <alignment horizontal="center" vertical="center" wrapText="1"/>
    </xf>
    <xf numFmtId="0" fontId="6" fillId="4" borderId="1" xfId="6" applyFont="1" applyFill="1" applyBorder="1" applyAlignment="1">
      <alignment horizontal="center"/>
    </xf>
    <xf numFmtId="0" fontId="9" fillId="4" borderId="1" xfId="3" applyFont="1" applyFill="1" applyBorder="1" applyAlignment="1">
      <alignment horizontal="center"/>
    </xf>
    <xf numFmtId="0" fontId="5" fillId="4" borderId="1" xfId="6" applyFont="1" applyFill="1" applyBorder="1" applyAlignment="1">
      <alignment horizontal="center"/>
    </xf>
    <xf numFmtId="0" fontId="11" fillId="4" borderId="1" xfId="3" applyFont="1" applyFill="1" applyBorder="1" applyAlignment="1">
      <alignment horizontal="center"/>
    </xf>
    <xf numFmtId="0" fontId="52" fillId="4" borderId="4" xfId="6" applyFont="1" applyFill="1" applyBorder="1" applyAlignment="1">
      <alignment horizontal="center"/>
    </xf>
    <xf numFmtId="0" fontId="52" fillId="4" borderId="5" xfId="6" applyFont="1" applyFill="1" applyBorder="1" applyAlignment="1">
      <alignment horizontal="center"/>
    </xf>
    <xf numFmtId="0" fontId="52" fillId="4" borderId="2" xfId="6" applyFont="1" applyFill="1" applyBorder="1" applyAlignment="1">
      <alignment horizontal="center"/>
    </xf>
    <xf numFmtId="0" fontId="31" fillId="4" borderId="15" xfId="3" applyFont="1" applyFill="1" applyBorder="1" applyAlignment="1">
      <alignment horizontal="center"/>
    </xf>
    <xf numFmtId="0" fontId="31" fillId="4" borderId="0" xfId="3" applyFont="1" applyFill="1" applyAlignment="1">
      <alignment horizontal="center"/>
    </xf>
    <xf numFmtId="0" fontId="31" fillId="4" borderId="4" xfId="6" applyFont="1" applyFill="1" applyBorder="1" applyAlignment="1">
      <alignment horizontal="center"/>
    </xf>
    <xf numFmtId="0" fontId="31" fillId="4" borderId="5" xfId="6" applyFont="1" applyFill="1" applyBorder="1" applyAlignment="1">
      <alignment horizontal="center"/>
    </xf>
    <xf numFmtId="0" fontId="31" fillId="4" borderId="2" xfId="6" applyFont="1" applyFill="1" applyBorder="1" applyAlignment="1">
      <alignment horizontal="center"/>
    </xf>
    <xf numFmtId="0" fontId="6" fillId="3" borderId="4" xfId="6" applyFont="1" applyFill="1" applyBorder="1" applyAlignment="1">
      <alignment horizontal="center"/>
    </xf>
    <xf numFmtId="0" fontId="6" fillId="3" borderId="5" xfId="6" applyFont="1" applyFill="1" applyBorder="1" applyAlignment="1">
      <alignment horizontal="center"/>
    </xf>
    <xf numFmtId="0" fontId="6" fillId="3" borderId="2" xfId="6" applyFont="1" applyFill="1" applyBorder="1" applyAlignment="1">
      <alignment horizontal="center"/>
    </xf>
    <xf numFmtId="0" fontId="31" fillId="4" borderId="4" xfId="3" applyFont="1" applyFill="1" applyBorder="1" applyAlignment="1">
      <alignment horizontal="center"/>
    </xf>
    <xf numFmtId="0" fontId="31" fillId="4" borderId="5" xfId="3" applyFont="1" applyFill="1" applyBorder="1" applyAlignment="1">
      <alignment horizontal="center"/>
    </xf>
    <xf numFmtId="0" fontId="31" fillId="4" borderId="2" xfId="3" applyFont="1" applyFill="1" applyBorder="1" applyAlignment="1">
      <alignment horizontal="center"/>
    </xf>
    <xf numFmtId="0" fontId="34" fillId="0" borderId="1" xfId="3" applyFont="1" applyBorder="1" applyAlignment="1">
      <alignment horizontal="center" vertical="center"/>
    </xf>
    <xf numFmtId="0" fontId="54" fillId="0" borderId="1" xfId="3" applyFont="1" applyBorder="1" applyAlignment="1">
      <alignment horizontal="center" vertical="center" wrapText="1"/>
    </xf>
    <xf numFmtId="0" fontId="54" fillId="0" borderId="4" xfId="3" applyFont="1" applyBorder="1" applyAlignment="1">
      <alignment horizontal="center" vertical="center" wrapText="1"/>
    </xf>
    <xf numFmtId="0" fontId="31" fillId="4" borderId="1" xfId="6" applyFont="1" applyFill="1" applyBorder="1" applyAlignment="1">
      <alignment horizontal="center"/>
    </xf>
    <xf numFmtId="0" fontId="4" fillId="4" borderId="1" xfId="3" applyFill="1" applyBorder="1" applyAlignment="1">
      <alignment horizontal="center"/>
    </xf>
    <xf numFmtId="0" fontId="5" fillId="3" borderId="1" xfId="6" applyFont="1" applyFill="1" applyBorder="1" applyAlignment="1">
      <alignment horizontal="center"/>
    </xf>
    <xf numFmtId="0" fontId="11" fillId="3" borderId="1" xfId="3" applyFont="1" applyFill="1" applyBorder="1" applyAlignment="1">
      <alignment horizontal="center"/>
    </xf>
    <xf numFmtId="0" fontId="52" fillId="4" borderId="1" xfId="6" applyFont="1" applyFill="1" applyBorder="1" applyAlignment="1">
      <alignment horizontal="center"/>
    </xf>
    <xf numFmtId="0" fontId="17" fillId="4" borderId="1" xfId="3" applyFont="1" applyFill="1" applyBorder="1" applyAlignment="1">
      <alignment horizontal="center"/>
    </xf>
    <xf numFmtId="0" fontId="54" fillId="4" borderId="15" xfId="7" applyFont="1" applyFill="1" applyBorder="1" applyAlignment="1">
      <alignment horizontal="center"/>
    </xf>
    <xf numFmtId="0" fontId="54" fillId="4" borderId="0" xfId="7" applyFont="1" applyFill="1" applyAlignment="1">
      <alignment horizontal="center"/>
    </xf>
    <xf numFmtId="0" fontId="54" fillId="4" borderId="15" xfId="1" applyFont="1" applyFill="1" applyBorder="1" applyAlignment="1">
      <alignment horizontal="center"/>
    </xf>
    <xf numFmtId="0" fontId="54" fillId="4" borderId="0" xfId="1" applyFont="1" applyFill="1" applyAlignment="1">
      <alignment horizontal="center"/>
    </xf>
    <xf numFmtId="0" fontId="31" fillId="4" borderId="10" xfId="2" applyFont="1" applyFill="1" applyBorder="1" applyAlignment="1">
      <alignment horizontal="center" vertical="center"/>
    </xf>
    <xf numFmtId="0" fontId="31" fillId="4" borderId="9" xfId="2" applyFont="1" applyFill="1" applyBorder="1" applyAlignment="1">
      <alignment horizontal="center" vertical="center"/>
    </xf>
    <xf numFmtId="0" fontId="31" fillId="4" borderId="16" xfId="2" applyFont="1" applyFill="1" applyBorder="1" applyAlignment="1">
      <alignment horizontal="center" vertical="center"/>
    </xf>
    <xf numFmtId="0" fontId="40" fillId="4" borderId="4" xfId="2" applyFont="1" applyFill="1" applyBorder="1" applyAlignment="1">
      <alignment horizontal="center"/>
    </xf>
    <xf numFmtId="0" fontId="40" fillId="4" borderId="5" xfId="2" applyFont="1" applyFill="1" applyBorder="1" applyAlignment="1">
      <alignment horizontal="center"/>
    </xf>
    <xf numFmtId="0" fontId="40" fillId="4" borderId="2" xfId="2" applyFont="1" applyFill="1" applyBorder="1" applyAlignment="1">
      <alignment horizontal="center"/>
    </xf>
    <xf numFmtId="0" fontId="10" fillId="0" borderId="3" xfId="2" applyBorder="1" applyAlignment="1">
      <alignment horizontal="center" vertical="center"/>
    </xf>
    <xf numFmtId="0" fontId="10" fillId="0" borderId="17" xfId="2" applyBorder="1" applyAlignment="1">
      <alignment horizontal="center" vertical="center"/>
    </xf>
    <xf numFmtId="0" fontId="10" fillId="0" borderId="19" xfId="2" applyBorder="1" applyAlignment="1">
      <alignment horizontal="center" vertical="center"/>
    </xf>
    <xf numFmtId="0" fontId="10" fillId="0" borderId="3" xfId="2" applyBorder="1" applyAlignment="1">
      <alignment horizontal="center" vertical="center" wrapText="1"/>
    </xf>
    <xf numFmtId="0" fontId="22" fillId="0" borderId="17" xfId="2" applyFont="1" applyBorder="1" applyAlignment="1">
      <alignment horizontal="center" vertical="center" wrapText="1"/>
    </xf>
    <xf numFmtId="0" fontId="22" fillId="0" borderId="19" xfId="2" applyFont="1" applyBorder="1" applyAlignment="1">
      <alignment horizontal="center" vertical="center" wrapText="1"/>
    </xf>
    <xf numFmtId="0" fontId="71" fillId="11" borderId="4" xfId="5" applyFont="1" applyFill="1" applyBorder="1" applyAlignment="1">
      <alignment horizontal="center"/>
    </xf>
    <xf numFmtId="0" fontId="71" fillId="11" borderId="5" xfId="5" applyFont="1" applyFill="1" applyBorder="1" applyAlignment="1">
      <alignment horizontal="center"/>
    </xf>
    <xf numFmtId="0" fontId="71" fillId="11" borderId="2" xfId="5" applyFont="1" applyFill="1" applyBorder="1" applyAlignment="1">
      <alignment horizontal="center"/>
    </xf>
    <xf numFmtId="0" fontId="71" fillId="12" borderId="4" xfId="5" applyFont="1" applyFill="1" applyBorder="1" applyAlignment="1">
      <alignment horizontal="center" vertical="center"/>
    </xf>
    <xf numFmtId="0" fontId="71" fillId="12" borderId="2" xfId="5" applyFont="1" applyFill="1" applyBorder="1" applyAlignment="1">
      <alignment horizontal="center" vertical="center"/>
    </xf>
    <xf numFmtId="0" fontId="71" fillId="12" borderId="3" xfId="5" applyFont="1" applyFill="1" applyBorder="1" applyAlignment="1">
      <alignment horizontal="center" vertical="center"/>
    </xf>
    <xf numFmtId="0" fontId="71" fillId="12" borderId="19" xfId="5" applyFont="1" applyFill="1" applyBorder="1" applyAlignment="1">
      <alignment horizontal="center" vertical="center"/>
    </xf>
  </cellXfs>
  <cellStyles count="9">
    <cellStyle name="Normal 2" xfId="1" xr:uid="{64D98906-C1EB-42A9-9DFE-E4CA247B8E31}"/>
    <cellStyle name="Normal 2 2" xfId="6" xr:uid="{DE0D14FE-A434-45BD-91C8-7F0195A06A19}"/>
    <cellStyle name="Normal 2 8" xfId="7" xr:uid="{EE94DEE0-97A3-4044-BB53-C9F6849FD960}"/>
    <cellStyle name="Normal 3 2" xfId="4" xr:uid="{AEBCC985-59C5-4A00-9C55-72A06E97C347}"/>
    <cellStyle name="Normal 4" xfId="8" xr:uid="{809A90AC-8D1D-4271-ABD2-7B875ADDC092}"/>
    <cellStyle name="常规" xfId="0" builtinId="0"/>
    <cellStyle name="常规 2" xfId="2" xr:uid="{7CAB2B74-59A1-4C80-9DB4-72C13143B7B7}"/>
    <cellStyle name="常规 2 2" xfId="5" xr:uid="{1EB7EDAC-EEB3-47F8-B145-7DE9A0DD02BA}"/>
    <cellStyle name="常规 3" xfId="3" xr:uid="{BD0D20FE-CFDC-4853-8577-5347B6D6744B}"/>
  </cellStyles>
  <dxfs count="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3.xml"/><Relationship Id="rId2" Type="http://schemas.openxmlformats.org/officeDocument/2006/relationships/customXml" Target="../ink/ink2.xml"/><Relationship Id="rId1" Type="http://schemas.openxmlformats.org/officeDocument/2006/relationships/customXml" Target="../ink/ink1.xml"/><Relationship Id="rId4" Type="http://schemas.openxmlformats.org/officeDocument/2006/relationships/customXml" Target="../ink/ink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ustomXml" Target="../ink/ink6.xml"/><Relationship Id="rId1" Type="http://schemas.openxmlformats.org/officeDocument/2006/relationships/customXml" Target="../ink/ink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1695350</xdr:colOff>
      <xdr:row>75</xdr:row>
      <xdr:rowOff>171310</xdr:rowOff>
    </xdr:from>
    <xdr:to>
      <xdr:col>2</xdr:col>
      <xdr:colOff>1695350</xdr:colOff>
      <xdr:row>75</xdr:row>
      <xdr:rowOff>171670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23">
              <a:extLst>
                <a:ext uri="{FF2B5EF4-FFF2-40B4-BE49-F238E27FC236}">
                  <a16:creationId xmlns:a16="http://schemas.microsoft.com/office/drawing/2014/main" id="{30FCE16F-975B-4922-86DE-627ACE5E509F}"/>
                </a:ext>
              </a:extLst>
            </xdr14:cNvPr>
            <xdr14:cNvContentPartPr/>
          </xdr14:nvContentPartPr>
          <xdr14:nvPr macro=""/>
          <xdr14:xfrm>
            <a:off x="6642000" y="4406760"/>
            <a:ext cx="0" cy="360"/>
          </xdr14:xfrm>
        </xdr:contentPart>
      </mc:Choice>
      <mc:Fallback xmlns="">
        <xdr:pic>
          <xdr:nvPicPr>
            <xdr:cNvPr id="24" name="Ink 23"/>
            <xdr:cNvPicPr/>
          </xdr:nvPicPr>
          <xdr:blipFill/>
          <xdr:spPr/>
        </xdr:pic>
      </mc:Fallback>
    </mc:AlternateContent>
    <xdr:clientData/>
  </xdr:twoCellAnchor>
  <xdr:twoCellAnchor>
    <xdr:from>
      <xdr:col>2</xdr:col>
      <xdr:colOff>1695350</xdr:colOff>
      <xdr:row>97</xdr:row>
      <xdr:rowOff>0</xdr:rowOff>
    </xdr:from>
    <xdr:to>
      <xdr:col>2</xdr:col>
      <xdr:colOff>1695350</xdr:colOff>
      <xdr:row>97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30">
              <a:extLst>
                <a:ext uri="{FF2B5EF4-FFF2-40B4-BE49-F238E27FC236}">
                  <a16:creationId xmlns:a16="http://schemas.microsoft.com/office/drawing/2014/main" id="{57B04B63-6B09-45BE-8332-8F499C738F8E}"/>
                </a:ext>
              </a:extLst>
            </xdr14:cNvPr>
            <xdr14:cNvContentPartPr/>
          </xdr14:nvContentPartPr>
          <xdr14:nvPr macro=""/>
          <xdr14:xfrm>
            <a:off x="6642000" y="4406760"/>
            <a:ext cx="0" cy="360"/>
          </xdr14:xfrm>
        </xdr:contentPart>
      </mc:Choice>
      <mc:Fallback xmlns="">
        <xdr:pic>
          <xdr:nvPicPr>
            <xdr:cNvPr id="24" name="Ink 23"/>
            <xdr:cNvPicPr/>
          </xdr:nvPicPr>
          <xdr:blipFill/>
          <xdr:spPr/>
        </xdr:pic>
      </mc:Fallback>
    </mc:AlternateContent>
    <xdr:clientData/>
  </xdr:twoCellAnchor>
  <xdr:twoCellAnchor>
    <xdr:from>
      <xdr:col>8</xdr:col>
      <xdr:colOff>1695350</xdr:colOff>
      <xdr:row>74</xdr:row>
      <xdr:rowOff>171310</xdr:rowOff>
    </xdr:from>
    <xdr:to>
      <xdr:col>8</xdr:col>
      <xdr:colOff>1695350</xdr:colOff>
      <xdr:row>74</xdr:row>
      <xdr:rowOff>171670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Ink 23">
              <a:extLst>
                <a:ext uri="{FF2B5EF4-FFF2-40B4-BE49-F238E27FC236}">
                  <a16:creationId xmlns:a16="http://schemas.microsoft.com/office/drawing/2014/main" id="{3B405A3C-B818-4279-81AE-CEDBEB2B92E2}"/>
                </a:ext>
              </a:extLst>
            </xdr14:cNvPr>
            <xdr14:cNvContentPartPr/>
          </xdr14:nvContentPartPr>
          <xdr14:nvPr macro=""/>
          <xdr14:xfrm>
            <a:off x="6642000" y="4406760"/>
            <a:ext cx="0" cy="360"/>
          </xdr14:xfrm>
        </xdr:contentPart>
      </mc:Choice>
      <mc:Fallback xmlns="">
        <xdr:pic>
          <xdr:nvPicPr>
            <xdr:cNvPr id="24" name="Ink 23"/>
            <xdr:cNvPicPr/>
          </xdr:nvPicPr>
          <xdr:blipFill/>
          <xdr:spPr/>
        </xdr:pic>
      </mc:Fallback>
    </mc:AlternateContent>
    <xdr:clientData/>
  </xdr:twoCellAnchor>
  <xdr:twoCellAnchor>
    <xdr:from>
      <xdr:col>8</xdr:col>
      <xdr:colOff>1695350</xdr:colOff>
      <xdr:row>97</xdr:row>
      <xdr:rowOff>0</xdr:rowOff>
    </xdr:from>
    <xdr:to>
      <xdr:col>8</xdr:col>
      <xdr:colOff>1695350</xdr:colOff>
      <xdr:row>97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Ink 30">
              <a:extLst>
                <a:ext uri="{FF2B5EF4-FFF2-40B4-BE49-F238E27FC236}">
                  <a16:creationId xmlns:a16="http://schemas.microsoft.com/office/drawing/2014/main" id="{2A2D6D0B-C27A-41A9-B534-662220DE4B3C}"/>
                </a:ext>
              </a:extLst>
            </xdr14:cNvPr>
            <xdr14:cNvContentPartPr/>
          </xdr14:nvContentPartPr>
          <xdr14:nvPr macro=""/>
          <xdr14:xfrm>
            <a:off x="6642000" y="4406760"/>
            <a:ext cx="0" cy="360"/>
          </xdr14:xfrm>
        </xdr:contentPart>
      </mc:Choice>
      <mc:Fallback xmlns="">
        <xdr:pic>
          <xdr:nvPicPr>
            <xdr:cNvPr id="24" name="Ink 23"/>
            <xdr:cNvPicPr/>
          </xdr:nvPicPr>
          <xdr:blipFill/>
          <xdr:spPr/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1695350</xdr:colOff>
      <xdr:row>75</xdr:row>
      <xdr:rowOff>171310</xdr:rowOff>
    </xdr:from>
    <xdr:to>
      <xdr:col>2</xdr:col>
      <xdr:colOff>1695350</xdr:colOff>
      <xdr:row>75</xdr:row>
      <xdr:rowOff>171670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23">
              <a:extLst>
                <a:ext uri="{FF2B5EF4-FFF2-40B4-BE49-F238E27FC236}">
                  <a16:creationId xmlns:a16="http://schemas.microsoft.com/office/drawing/2014/main" id="{6173AAAB-C28D-47C4-975A-994FBCDC119C}"/>
                </a:ext>
              </a:extLst>
            </xdr14:cNvPr>
            <xdr14:cNvContentPartPr/>
          </xdr14:nvContentPartPr>
          <xdr14:nvPr macro=""/>
          <xdr14:xfrm>
            <a:off x="6642000" y="4406760"/>
            <a:ext cx="0" cy="360"/>
          </xdr14:xfrm>
        </xdr:contentPart>
      </mc:Choice>
      <mc:Fallback xmlns="">
        <xdr:pic>
          <xdr:nvPicPr>
            <xdr:cNvPr id="24" name="Ink 23"/>
            <xdr:cNvPicPr/>
          </xdr:nvPicPr>
          <xdr:blipFill/>
          <xdr:spPr/>
        </xdr:pic>
      </mc:Fallback>
    </mc:AlternateContent>
    <xdr:clientData/>
  </xdr:twoCellAnchor>
  <xdr:twoCellAnchor>
    <xdr:from>
      <xdr:col>2</xdr:col>
      <xdr:colOff>1695350</xdr:colOff>
      <xdr:row>97</xdr:row>
      <xdr:rowOff>0</xdr:rowOff>
    </xdr:from>
    <xdr:to>
      <xdr:col>2</xdr:col>
      <xdr:colOff>1695350</xdr:colOff>
      <xdr:row>97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30">
              <a:extLst>
                <a:ext uri="{FF2B5EF4-FFF2-40B4-BE49-F238E27FC236}">
                  <a16:creationId xmlns:a16="http://schemas.microsoft.com/office/drawing/2014/main" id="{B106C37F-1DA4-4F05-8EEE-237A59ACE364}"/>
                </a:ext>
              </a:extLst>
            </xdr14:cNvPr>
            <xdr14:cNvContentPartPr/>
          </xdr14:nvContentPartPr>
          <xdr14:nvPr macro=""/>
          <xdr14:xfrm>
            <a:off x="6642000" y="4406760"/>
            <a:ext cx="0" cy="360"/>
          </xdr14:xfrm>
        </xdr:contentPart>
      </mc:Choice>
      <mc:Fallback xmlns="">
        <xdr:pic>
          <xdr:nvPicPr>
            <xdr:cNvPr id="24" name="Ink 23"/>
            <xdr:cNvPicPr/>
          </xdr:nvPicPr>
          <xdr:blipFill/>
          <xdr:spPr/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140860</xdr:colOff>
      <xdr:row>12</xdr:row>
      <xdr:rowOff>81507</xdr:rowOff>
    </xdr:from>
    <xdr:to>
      <xdr:col>4</xdr:col>
      <xdr:colOff>3306223</xdr:colOff>
      <xdr:row>18</xdr:row>
      <xdr:rowOff>117764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2AD776-E2E0-4D3F-A125-044A44E5B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89595" y="2233036"/>
          <a:ext cx="3165363" cy="111202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15</xdr:row>
      <xdr:rowOff>152400</xdr:rowOff>
    </xdr:from>
    <xdr:to>
      <xdr:col>1</xdr:col>
      <xdr:colOff>5171253</xdr:colOff>
      <xdr:row>34</xdr:row>
      <xdr:rowOff>167059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93D57BE1-29A7-42E3-A658-04678A29E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" y="3771900"/>
          <a:ext cx="5586543" cy="345318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213360</xdr:colOff>
          <xdr:row>9</xdr:row>
          <xdr:rowOff>411480</xdr:rowOff>
        </xdr:from>
        <xdr:to>
          <xdr:col>10</xdr:col>
          <xdr:colOff>541020</xdr:colOff>
          <xdr:row>24</xdr:row>
          <xdr:rowOff>60960</xdr:rowOff>
        </xdr:to>
        <xdr:sp macro="" textlink="">
          <xdr:nvSpPr>
            <xdr:cNvPr id="16385" name="Object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E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167641</xdr:colOff>
      <xdr:row>36</xdr:row>
      <xdr:rowOff>60962</xdr:rowOff>
    </xdr:from>
    <xdr:to>
      <xdr:col>1</xdr:col>
      <xdr:colOff>4808220</xdr:colOff>
      <xdr:row>41</xdr:row>
      <xdr:rowOff>952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A50F0041-E265-45C3-9D74-1ACA781BB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7641" y="7480937"/>
          <a:ext cx="5116829" cy="84486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42</xdr:row>
      <xdr:rowOff>38100</xdr:rowOff>
    </xdr:from>
    <xdr:to>
      <xdr:col>1</xdr:col>
      <xdr:colOff>1870446</xdr:colOff>
      <xdr:row>52</xdr:row>
      <xdr:rowOff>37881</xdr:rowOff>
    </xdr:to>
    <xdr:pic>
      <xdr:nvPicPr>
        <xdr:cNvPr id="4" name="Picture 5">
          <a:extLst>
            <a:ext uri="{FF2B5EF4-FFF2-40B4-BE49-F238E27FC236}">
              <a16:creationId xmlns:a16="http://schemas.microsoft.com/office/drawing/2014/main" id="{7AE6FEC3-B512-4DA1-B807-FFC1ED24A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0" y="8543925"/>
          <a:ext cx="2156196" cy="180953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1404257</xdr:colOff>
      <xdr:row>50</xdr:row>
      <xdr:rowOff>32658</xdr:rowOff>
    </xdr:from>
    <xdr:to>
      <xdr:col>3</xdr:col>
      <xdr:colOff>3541844</xdr:colOff>
      <xdr:row>65</xdr:row>
      <xdr:rowOff>71054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67F9865-C7F6-4BF1-969C-939E7B2E5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4257" y="11375572"/>
          <a:ext cx="7580444" cy="26509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923365</xdr:colOff>
      <xdr:row>43</xdr:row>
      <xdr:rowOff>161365</xdr:rowOff>
    </xdr:from>
    <xdr:to>
      <xdr:col>3</xdr:col>
      <xdr:colOff>3062233</xdr:colOff>
      <xdr:row>58</xdr:row>
      <xdr:rowOff>122921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8E8A068-E710-4062-866E-32B3B0EFE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365" y="10497671"/>
          <a:ext cx="7580444" cy="26509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7-16T08:14:20.393"/>
    </inkml:context>
    <inkml:brush xml:id="br0">
      <inkml:brushProperty name="width" value="0.04667" units="cm"/>
      <inkml:brushProperty name="height" value="0.04667" units="cm"/>
      <inkml:brushProperty name="color" value="#ED1C24"/>
      <inkml:brushProperty name="ignorePressure" value="1"/>
    </inkml:brush>
  </inkml:definitions>
  <inkml:trace contextRef="#ctx0" brushRef="#br0">9225 6121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7-16T08:14:20.394"/>
    </inkml:context>
    <inkml:brush xml:id="br0">
      <inkml:brushProperty name="width" value="0.04667" units="cm"/>
      <inkml:brushProperty name="height" value="0.04667" units="cm"/>
      <inkml:brushProperty name="color" value="#ED1C24"/>
      <inkml:brushProperty name="ignorePressure" value="1"/>
    </inkml:brush>
  </inkml:definitions>
  <inkml:trace contextRef="#ctx0" brushRef="#br0">9225 6121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7-16T08:14:20.395"/>
    </inkml:context>
    <inkml:brush xml:id="br0">
      <inkml:brushProperty name="width" value="0.04667" units="cm"/>
      <inkml:brushProperty name="height" value="0.04667" units="cm"/>
      <inkml:brushProperty name="color" value="#ED1C24"/>
      <inkml:brushProperty name="ignorePressure" value="1"/>
    </inkml:brush>
  </inkml:definitions>
  <inkml:trace contextRef="#ctx0" brushRef="#br0">9225 6121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7-16T08:14:20.396"/>
    </inkml:context>
    <inkml:brush xml:id="br0">
      <inkml:brushProperty name="width" value="0.04667" units="cm"/>
      <inkml:brushProperty name="height" value="0.04667" units="cm"/>
      <inkml:brushProperty name="color" value="#ED1C24"/>
      <inkml:brushProperty name="ignorePressure" value="1"/>
    </inkml:brush>
  </inkml:definitions>
  <inkml:trace contextRef="#ctx0" brushRef="#br0">9225 6121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7-16T08:14:20.450"/>
    </inkml:context>
    <inkml:brush xml:id="br0">
      <inkml:brushProperty name="width" value="0.04667" units="cm"/>
      <inkml:brushProperty name="height" value="0.04667" units="cm"/>
      <inkml:brushProperty name="color" value="#ED1C24"/>
      <inkml:brushProperty name="ignorePressure" value="1"/>
    </inkml:brush>
  </inkml:definitions>
  <inkml:trace contextRef="#ctx0" brushRef="#br0">9225 6121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7-16T08:14:20.451"/>
    </inkml:context>
    <inkml:brush xml:id="br0">
      <inkml:brushProperty name="width" value="0.04667" units="cm"/>
      <inkml:brushProperty name="height" value="0.04667" units="cm"/>
      <inkml:brushProperty name="color" value="#ED1C24"/>
      <inkml:brushProperty name="ignorePressure" value="1"/>
    </inkml:brush>
  </inkml:definitions>
  <inkml:trace contextRef="#ctx0" brushRef="#br0">9225 6121</inkml:trace>
</inkml: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Relationship Id="rId5" Type="http://schemas.openxmlformats.org/officeDocument/2006/relationships/image" Target="../media/image2.emf"/><Relationship Id="rId4" Type="http://schemas.openxmlformats.org/officeDocument/2006/relationships/package" Target="../embeddings/Microsoft_Visio_Drawing.vsdx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90C2D-2E84-4495-8924-267770713B3C}">
  <sheetPr>
    <tabColor rgb="FFFFC000"/>
  </sheetPr>
  <dimension ref="A1:L7"/>
  <sheetViews>
    <sheetView zoomScale="85" zoomScaleNormal="85" workbookViewId="0">
      <selection activeCell="C3" sqref="C3:L3"/>
    </sheetView>
  </sheetViews>
  <sheetFormatPr defaultRowHeight="13.8"/>
  <cols>
    <col min="1" max="1" width="5" bestFit="1" customWidth="1"/>
    <col min="2" max="2" width="34.21875" bestFit="1" customWidth="1"/>
    <col min="3" max="3" width="8.88671875" customWidth="1"/>
    <col min="12" max="12" width="29.5546875" customWidth="1"/>
  </cols>
  <sheetData>
    <row r="1" spans="1:12">
      <c r="A1" s="247" t="s">
        <v>882</v>
      </c>
      <c r="B1" s="248" t="s">
        <v>883</v>
      </c>
      <c r="C1" s="351" t="s">
        <v>497</v>
      </c>
      <c r="D1" s="351"/>
      <c r="E1" s="351"/>
      <c r="F1" s="351"/>
      <c r="G1" s="351"/>
      <c r="H1" s="351"/>
      <c r="I1" s="351"/>
      <c r="J1" s="351"/>
      <c r="K1" s="351"/>
      <c r="L1" s="351"/>
    </row>
    <row r="2" spans="1:12">
      <c r="A2" s="249" t="s">
        <v>1002</v>
      </c>
      <c r="B2" s="250" t="s">
        <v>1001</v>
      </c>
      <c r="C2" s="350" t="s">
        <v>884</v>
      </c>
      <c r="D2" s="350"/>
      <c r="E2" s="350"/>
      <c r="F2" s="350"/>
      <c r="G2" s="350"/>
      <c r="H2" s="350"/>
      <c r="I2" s="350"/>
      <c r="J2" s="350"/>
      <c r="K2" s="350"/>
      <c r="L2" s="350"/>
    </row>
    <row r="3" spans="1:12" ht="244.8" customHeight="1">
      <c r="A3" s="246">
        <v>1.1000000000000001</v>
      </c>
      <c r="B3" s="343" t="s">
        <v>1021</v>
      </c>
      <c r="C3" s="352" t="s">
        <v>1030</v>
      </c>
      <c r="D3" s="352"/>
      <c r="E3" s="352"/>
      <c r="F3" s="352"/>
      <c r="G3" s="352"/>
      <c r="H3" s="352"/>
      <c r="I3" s="352"/>
      <c r="J3" s="352"/>
      <c r="K3" s="352"/>
      <c r="L3" s="352"/>
    </row>
    <row r="4" spans="1:12">
      <c r="A4" s="249"/>
      <c r="B4" s="250"/>
      <c r="C4" s="350"/>
      <c r="D4" s="350"/>
      <c r="E4" s="350"/>
      <c r="F4" s="350"/>
      <c r="G4" s="350"/>
      <c r="H4" s="350"/>
      <c r="I4" s="350"/>
      <c r="J4" s="350"/>
      <c r="K4" s="350"/>
      <c r="L4" s="350"/>
    </row>
    <row r="5" spans="1:12">
      <c r="A5" s="246"/>
      <c r="B5" s="246"/>
      <c r="C5" s="350"/>
      <c r="D5" s="350"/>
      <c r="E5" s="350"/>
      <c r="F5" s="350"/>
      <c r="G5" s="350"/>
      <c r="H5" s="350"/>
      <c r="I5" s="350"/>
      <c r="J5" s="350"/>
      <c r="K5" s="350"/>
      <c r="L5" s="350"/>
    </row>
    <row r="6" spans="1:12">
      <c r="A6" s="249"/>
      <c r="B6" s="250"/>
      <c r="C6" s="350"/>
      <c r="D6" s="350"/>
      <c r="E6" s="350"/>
      <c r="F6" s="350"/>
      <c r="G6" s="350"/>
      <c r="H6" s="350"/>
      <c r="I6" s="350"/>
      <c r="J6" s="350"/>
      <c r="K6" s="350"/>
      <c r="L6" s="350"/>
    </row>
    <row r="7" spans="1:12">
      <c r="A7" s="246"/>
      <c r="B7" s="246"/>
      <c r="C7" s="350"/>
      <c r="D7" s="350"/>
      <c r="E7" s="350"/>
      <c r="F7" s="350"/>
      <c r="G7" s="350"/>
      <c r="H7" s="350"/>
      <c r="I7" s="350"/>
      <c r="J7" s="350"/>
      <c r="K7" s="350"/>
      <c r="L7" s="350"/>
    </row>
  </sheetData>
  <mergeCells count="7">
    <mergeCell ref="C7:L7"/>
    <mergeCell ref="C1:L1"/>
    <mergeCell ref="C2:L2"/>
    <mergeCell ref="C3:L3"/>
    <mergeCell ref="C4:L4"/>
    <mergeCell ref="C5:L5"/>
    <mergeCell ref="C6:L6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58534-6E14-4CC6-9BF1-9593E6375449}">
  <dimension ref="A1:I61"/>
  <sheetViews>
    <sheetView zoomScale="85" zoomScaleNormal="85" workbookViewId="0">
      <pane ySplit="1" topLeftCell="A8" activePane="bottomLeft" state="frozen"/>
      <selection activeCell="A55" sqref="A55:D56"/>
      <selection pane="bottomLeft" activeCell="A13" sqref="A13:A15"/>
    </sheetView>
  </sheetViews>
  <sheetFormatPr defaultColWidth="8.88671875" defaultRowHeight="13.8"/>
  <cols>
    <col min="1" max="1" width="36.33203125" style="13" customWidth="1"/>
    <col min="2" max="2" width="8.6640625" style="4" customWidth="1"/>
    <col min="3" max="4" width="12.44140625" style="4" customWidth="1"/>
    <col min="5" max="5" width="38.6640625" style="4" customWidth="1"/>
    <col min="6" max="16384" width="8.88671875" style="4"/>
  </cols>
  <sheetData>
    <row r="1" spans="1:9" ht="19.2" customHeight="1" thickBot="1">
      <c r="A1" s="1" t="s">
        <v>0</v>
      </c>
      <c r="B1" s="2" t="s">
        <v>1</v>
      </c>
      <c r="C1" s="220" t="s">
        <v>2</v>
      </c>
      <c r="D1" s="217"/>
      <c r="E1" s="3"/>
    </row>
    <row r="2" spans="1:9">
      <c r="A2" s="281" t="s">
        <v>3</v>
      </c>
      <c r="B2" s="282">
        <v>0</v>
      </c>
      <c r="C2" s="283">
        <v>4</v>
      </c>
      <c r="D2" s="360">
        <v>1</v>
      </c>
      <c r="E2" s="3"/>
    </row>
    <row r="3" spans="1:9">
      <c r="A3" s="281" t="s">
        <v>4</v>
      </c>
      <c r="B3" s="282">
        <v>4</v>
      </c>
      <c r="C3" s="283">
        <v>4</v>
      </c>
      <c r="D3" s="361"/>
      <c r="E3" s="3"/>
    </row>
    <row r="4" spans="1:9">
      <c r="A4" s="281" t="s">
        <v>5</v>
      </c>
      <c r="B4" s="282">
        <v>8</v>
      </c>
      <c r="C4" s="283">
        <v>4</v>
      </c>
      <c r="D4" s="361"/>
      <c r="E4" s="3"/>
    </row>
    <row r="5" spans="1:9">
      <c r="A5" s="281" t="s">
        <v>6</v>
      </c>
      <c r="B5" s="282" t="s">
        <v>7</v>
      </c>
      <c r="C5" s="283">
        <v>2</v>
      </c>
      <c r="D5" s="361"/>
      <c r="E5" s="3"/>
    </row>
    <row r="6" spans="1:9">
      <c r="A6" s="281" t="s">
        <v>8</v>
      </c>
      <c r="B6" s="282">
        <v>10</v>
      </c>
      <c r="C6" s="283">
        <v>2</v>
      </c>
      <c r="D6" s="361"/>
      <c r="E6" s="3"/>
    </row>
    <row r="7" spans="1:9" ht="14.4" thickBot="1">
      <c r="A7" s="281" t="s">
        <v>9</v>
      </c>
      <c r="B7" s="282">
        <v>14</v>
      </c>
      <c r="C7" s="283">
        <v>2</v>
      </c>
      <c r="D7" s="362"/>
      <c r="E7" s="3"/>
    </row>
    <row r="8" spans="1:9">
      <c r="A8" s="284" t="s">
        <v>10</v>
      </c>
      <c r="B8" s="282">
        <v>18</v>
      </c>
      <c r="C8" s="283">
        <v>1</v>
      </c>
      <c r="D8" s="360">
        <v>3</v>
      </c>
      <c r="E8" s="3"/>
    </row>
    <row r="9" spans="1:9" ht="14.4" thickBot="1">
      <c r="A9" s="284" t="s">
        <v>706</v>
      </c>
      <c r="B9" s="285" t="s">
        <v>11</v>
      </c>
      <c r="C9" s="286">
        <v>1</v>
      </c>
      <c r="D9" s="362"/>
      <c r="E9" s="3"/>
    </row>
    <row r="10" spans="1:9" ht="26.4">
      <c r="A10" s="284" t="s">
        <v>12</v>
      </c>
      <c r="B10" s="285">
        <v>20</v>
      </c>
      <c r="C10" s="283">
        <v>4</v>
      </c>
      <c r="D10" s="360">
        <v>4</v>
      </c>
      <c r="E10" s="316" t="s">
        <v>13</v>
      </c>
    </row>
    <row r="11" spans="1:9" ht="26.4">
      <c r="A11" s="284" t="s">
        <v>714</v>
      </c>
      <c r="B11" s="285">
        <v>24</v>
      </c>
      <c r="C11" s="283">
        <v>4</v>
      </c>
      <c r="D11" s="361"/>
      <c r="E11" s="316" t="s">
        <v>13</v>
      </c>
      <c r="I11" s="5"/>
    </row>
    <row r="12" spans="1:9" ht="27" thickBot="1">
      <c r="A12" s="284" t="s">
        <v>14</v>
      </c>
      <c r="B12" s="285">
        <v>28</v>
      </c>
      <c r="C12" s="283">
        <v>4</v>
      </c>
      <c r="D12" s="362"/>
      <c r="E12" s="316" t="s">
        <v>13</v>
      </c>
    </row>
    <row r="13" spans="1:9">
      <c r="A13" s="287" t="s">
        <v>15</v>
      </c>
      <c r="B13" s="288" t="s">
        <v>717</v>
      </c>
      <c r="C13" s="289">
        <v>4</v>
      </c>
      <c r="D13" s="353">
        <v>5</v>
      </c>
      <c r="E13" s="6"/>
    </row>
    <row r="14" spans="1:9">
      <c r="A14" s="287" t="s">
        <v>16</v>
      </c>
      <c r="B14" s="288">
        <v>30</v>
      </c>
      <c r="C14" s="289">
        <v>4</v>
      </c>
      <c r="D14" s="366"/>
      <c r="E14" s="6"/>
    </row>
    <row r="15" spans="1:9" ht="14.4" thickBot="1">
      <c r="A15" s="287" t="s">
        <v>17</v>
      </c>
      <c r="B15" s="288">
        <v>34</v>
      </c>
      <c r="C15" s="289">
        <v>4</v>
      </c>
      <c r="D15" s="354"/>
      <c r="E15" s="6"/>
    </row>
    <row r="16" spans="1:9" ht="14.4" thickBot="1">
      <c r="A16" s="287" t="s">
        <v>707</v>
      </c>
      <c r="B16" s="282">
        <v>38</v>
      </c>
      <c r="C16" s="283" t="s">
        <v>19</v>
      </c>
      <c r="D16" s="290">
        <v>12</v>
      </c>
      <c r="E16" s="3" t="s">
        <v>20</v>
      </c>
      <c r="F16" s="4" t="s">
        <v>872</v>
      </c>
    </row>
    <row r="17" spans="1:5" ht="14.4" thickBot="1">
      <c r="A17" s="287" t="s">
        <v>21</v>
      </c>
      <c r="B17" s="288" t="s">
        <v>22</v>
      </c>
      <c r="C17" s="283">
        <v>1</v>
      </c>
      <c r="D17" s="290">
        <v>6</v>
      </c>
      <c r="E17" s="3"/>
    </row>
    <row r="18" spans="1:5" ht="14.4" thickBot="1">
      <c r="A18" s="281" t="s">
        <v>840</v>
      </c>
      <c r="B18" s="282">
        <v>40</v>
      </c>
      <c r="C18" s="283" t="s">
        <v>23</v>
      </c>
      <c r="D18" s="290">
        <v>7</v>
      </c>
      <c r="E18" s="8"/>
    </row>
    <row r="19" spans="1:5">
      <c r="A19" s="281" t="s">
        <v>703</v>
      </c>
      <c r="B19" s="282">
        <v>44</v>
      </c>
      <c r="C19" s="289" t="s">
        <v>24</v>
      </c>
      <c r="D19" s="353">
        <v>8</v>
      </c>
      <c r="E19" s="8"/>
    </row>
    <row r="20" spans="1:5" ht="14.4" thickBot="1">
      <c r="A20" s="281" t="s">
        <v>702</v>
      </c>
      <c r="B20" s="288">
        <v>48</v>
      </c>
      <c r="C20" s="289" t="s">
        <v>24</v>
      </c>
      <c r="D20" s="354"/>
      <c r="E20" s="8"/>
    </row>
    <row r="21" spans="1:5">
      <c r="A21" s="287" t="s">
        <v>25</v>
      </c>
      <c r="B21" s="288" t="s">
        <v>26</v>
      </c>
      <c r="C21" s="286">
        <v>1</v>
      </c>
      <c r="D21" s="363">
        <v>9</v>
      </c>
      <c r="E21" s="3"/>
    </row>
    <row r="22" spans="1:5">
      <c r="A22" s="287" t="s">
        <v>27</v>
      </c>
      <c r="B22" s="282">
        <v>50</v>
      </c>
      <c r="C22" s="283">
        <v>1</v>
      </c>
      <c r="D22" s="364"/>
      <c r="E22" s="3"/>
    </row>
    <row r="23" spans="1:5">
      <c r="A23" s="281" t="s">
        <v>28</v>
      </c>
      <c r="B23" s="291">
        <v>54</v>
      </c>
      <c r="C23" s="286">
        <v>2</v>
      </c>
      <c r="D23" s="364"/>
      <c r="E23" s="3"/>
    </row>
    <row r="24" spans="1:5">
      <c r="A24" s="292" t="s">
        <v>29</v>
      </c>
      <c r="B24" s="291">
        <v>58</v>
      </c>
      <c r="C24" s="293">
        <v>4</v>
      </c>
      <c r="D24" s="364"/>
      <c r="E24" s="3"/>
    </row>
    <row r="25" spans="1:5">
      <c r="A25" s="292" t="s">
        <v>30</v>
      </c>
      <c r="B25" s="291" t="s">
        <v>31</v>
      </c>
      <c r="C25" s="293">
        <v>1</v>
      </c>
      <c r="D25" s="364"/>
      <c r="E25" s="3"/>
    </row>
    <row r="26" spans="1:5">
      <c r="A26" s="292" t="s">
        <v>32</v>
      </c>
      <c r="B26" s="291">
        <v>60</v>
      </c>
      <c r="C26" s="293">
        <v>1</v>
      </c>
      <c r="D26" s="364"/>
      <c r="E26" s="3"/>
    </row>
    <row r="27" spans="1:5" ht="14.4" thickBot="1">
      <c r="A27" s="292" t="s">
        <v>33</v>
      </c>
      <c r="B27" s="291">
        <v>64</v>
      </c>
      <c r="C27" s="293">
        <v>1</v>
      </c>
      <c r="D27" s="365"/>
      <c r="E27" s="3"/>
    </row>
    <row r="28" spans="1:5">
      <c r="A28" s="281" t="s">
        <v>373</v>
      </c>
      <c r="B28" s="291">
        <v>68</v>
      </c>
      <c r="C28" s="293" t="s">
        <v>34</v>
      </c>
      <c r="D28" s="363">
        <v>10</v>
      </c>
      <c r="E28" s="3"/>
    </row>
    <row r="29" spans="1:5">
      <c r="A29" s="287" t="s">
        <v>374</v>
      </c>
      <c r="B29" s="291" t="s">
        <v>35</v>
      </c>
      <c r="C29" s="294" t="s">
        <v>24</v>
      </c>
      <c r="D29" s="364"/>
      <c r="E29" s="3"/>
    </row>
    <row r="30" spans="1:5">
      <c r="A30" s="287" t="s">
        <v>375</v>
      </c>
      <c r="B30" s="291">
        <v>70</v>
      </c>
      <c r="C30" s="294" t="s">
        <v>24</v>
      </c>
      <c r="D30" s="364"/>
      <c r="E30" s="3"/>
    </row>
    <row r="31" spans="1:5" ht="14.4" thickBot="1">
      <c r="A31" s="287" t="s">
        <v>376</v>
      </c>
      <c r="B31" s="291">
        <v>74</v>
      </c>
      <c r="C31" s="294" t="s">
        <v>24</v>
      </c>
      <c r="D31" s="365"/>
      <c r="E31" s="3"/>
    </row>
    <row r="32" spans="1:5">
      <c r="A32" s="287" t="s">
        <v>377</v>
      </c>
      <c r="B32" s="291">
        <v>78</v>
      </c>
      <c r="C32" s="294" t="s">
        <v>24</v>
      </c>
      <c r="D32" s="363">
        <v>12</v>
      </c>
      <c r="E32" s="3"/>
    </row>
    <row r="33" spans="1:5" ht="14.4" thickBot="1">
      <c r="A33" s="287" t="s">
        <v>378</v>
      </c>
      <c r="B33" s="291" t="s">
        <v>36</v>
      </c>
      <c r="C33" s="294" t="s">
        <v>24</v>
      </c>
      <c r="D33" s="365"/>
      <c r="E33" s="9"/>
    </row>
    <row r="34" spans="1:5">
      <c r="A34" s="287" t="s">
        <v>379</v>
      </c>
      <c r="B34" s="291">
        <v>80</v>
      </c>
      <c r="C34" s="294" t="s">
        <v>37</v>
      </c>
      <c r="D34" s="360">
        <v>11</v>
      </c>
      <c r="E34" s="3"/>
    </row>
    <row r="35" spans="1:5">
      <c r="A35" s="281" t="s">
        <v>380</v>
      </c>
      <c r="B35" s="291">
        <v>84</v>
      </c>
      <c r="C35" s="294" t="s">
        <v>37</v>
      </c>
      <c r="D35" s="361"/>
      <c r="E35" s="3"/>
    </row>
    <row r="36" spans="1:5">
      <c r="A36" s="287" t="s">
        <v>381</v>
      </c>
      <c r="B36" s="291">
        <v>88</v>
      </c>
      <c r="C36" s="294" t="s">
        <v>37</v>
      </c>
      <c r="D36" s="361"/>
      <c r="E36" s="3"/>
    </row>
    <row r="37" spans="1:5" ht="14.4" thickBot="1">
      <c r="A37" s="292" t="s">
        <v>382</v>
      </c>
      <c r="B37" s="291" t="s">
        <v>38</v>
      </c>
      <c r="C37" s="294" t="s">
        <v>37</v>
      </c>
      <c r="D37" s="361"/>
      <c r="E37" s="3"/>
    </row>
    <row r="38" spans="1:5">
      <c r="A38" s="292" t="s">
        <v>383</v>
      </c>
      <c r="B38" s="291">
        <v>90</v>
      </c>
      <c r="C38" s="294" t="s">
        <v>37</v>
      </c>
      <c r="D38" s="363">
        <v>12</v>
      </c>
      <c r="E38" s="3"/>
    </row>
    <row r="39" spans="1:5" ht="14.4" thickBot="1">
      <c r="A39" s="292" t="s">
        <v>384</v>
      </c>
      <c r="B39" s="291">
        <v>94</v>
      </c>
      <c r="C39" s="294" t="s">
        <v>37</v>
      </c>
      <c r="D39" s="365"/>
      <c r="E39" s="3"/>
    </row>
    <row r="40" spans="1:5" ht="14.4" thickBot="1">
      <c r="A40" s="287" t="s">
        <v>709</v>
      </c>
      <c r="B40" s="291">
        <v>98</v>
      </c>
      <c r="C40" s="294" t="s">
        <v>37</v>
      </c>
      <c r="D40" s="295">
        <v>10</v>
      </c>
      <c r="E40" s="3"/>
    </row>
    <row r="41" spans="1:5" ht="14.4" thickBot="1">
      <c r="A41" s="300" t="s">
        <v>39</v>
      </c>
      <c r="B41" s="61" t="s">
        <v>40</v>
      </c>
      <c r="C41" s="221" t="s">
        <v>37</v>
      </c>
      <c r="D41" s="301" t="s">
        <v>913</v>
      </c>
      <c r="E41" s="3"/>
    </row>
    <row r="42" spans="1:5" ht="14.4" thickBot="1">
      <c r="A42" s="287" t="s">
        <v>41</v>
      </c>
      <c r="B42" s="291" t="s">
        <v>42</v>
      </c>
      <c r="C42" s="294" t="s">
        <v>43</v>
      </c>
      <c r="D42" s="295">
        <v>16</v>
      </c>
      <c r="E42" s="10" t="s">
        <v>44</v>
      </c>
    </row>
    <row r="43" spans="1:5" ht="14.4" thickBot="1">
      <c r="A43" s="287" t="s">
        <v>45</v>
      </c>
      <c r="B43" s="291" t="s">
        <v>46</v>
      </c>
      <c r="C43" s="294" t="s">
        <v>47</v>
      </c>
      <c r="D43" s="295">
        <v>16</v>
      </c>
      <c r="E43" s="3"/>
    </row>
    <row r="44" spans="1:5" ht="14.4" thickBot="1">
      <c r="A44" s="287" t="s">
        <v>708</v>
      </c>
      <c r="B44" s="291" t="s">
        <v>48</v>
      </c>
      <c r="C44" s="309" t="s">
        <v>37</v>
      </c>
      <c r="D44" s="310">
        <v>11</v>
      </c>
      <c r="E44" s="3"/>
    </row>
    <row r="45" spans="1:5" ht="14.4" thickBot="1">
      <c r="A45" s="287" t="s">
        <v>49</v>
      </c>
      <c r="B45" s="11" t="s">
        <v>50</v>
      </c>
      <c r="C45" s="311" t="s">
        <v>51</v>
      </c>
      <c r="D45" s="312">
        <v>13</v>
      </c>
      <c r="E45" s="3" t="s">
        <v>52</v>
      </c>
    </row>
    <row r="46" spans="1:5">
      <c r="A46" s="313" t="s">
        <v>53</v>
      </c>
      <c r="B46" s="314" t="s">
        <v>732</v>
      </c>
      <c r="C46" s="311" t="s">
        <v>34</v>
      </c>
      <c r="D46" s="357" t="s">
        <v>731</v>
      </c>
      <c r="E46" s="3"/>
    </row>
    <row r="47" spans="1:5">
      <c r="A47" s="313" t="s">
        <v>54</v>
      </c>
      <c r="B47" s="314" t="s">
        <v>55</v>
      </c>
      <c r="C47" s="311" t="s">
        <v>34</v>
      </c>
      <c r="D47" s="358"/>
      <c r="E47" s="3"/>
    </row>
    <row r="48" spans="1:5" ht="14.4" thickBot="1">
      <c r="A48" s="315" t="s">
        <v>56</v>
      </c>
      <c r="B48" s="314" t="s">
        <v>57</v>
      </c>
      <c r="C48" s="311" t="s">
        <v>34</v>
      </c>
      <c r="D48" s="359"/>
      <c r="E48" s="3"/>
    </row>
    <row r="49" spans="1:5">
      <c r="A49" s="298" t="s">
        <v>728</v>
      </c>
      <c r="B49" s="61" t="s">
        <v>59</v>
      </c>
      <c r="C49" s="222" t="s">
        <v>37</v>
      </c>
      <c r="D49" s="317">
        <v>10</v>
      </c>
      <c r="E49" s="3"/>
    </row>
    <row r="50" spans="1:5">
      <c r="A50" s="298" t="s">
        <v>727</v>
      </c>
      <c r="B50" s="62" t="s">
        <v>61</v>
      </c>
      <c r="C50" s="222" t="s">
        <v>37</v>
      </c>
      <c r="D50" s="318">
        <v>11</v>
      </c>
      <c r="E50" s="3"/>
    </row>
    <row r="51" spans="1:5">
      <c r="A51" s="299" t="s">
        <v>62</v>
      </c>
      <c r="B51" s="62" t="s">
        <v>63</v>
      </c>
      <c r="C51" s="222" t="s">
        <v>24</v>
      </c>
      <c r="D51" s="318"/>
      <c r="E51" s="3"/>
    </row>
    <row r="52" spans="1:5" ht="14.4" thickBot="1">
      <c r="A52" s="299" t="s">
        <v>64</v>
      </c>
      <c r="B52" s="62" t="s">
        <v>65</v>
      </c>
      <c r="C52" s="222" t="s">
        <v>24</v>
      </c>
      <c r="D52" s="319"/>
      <c r="E52" s="3"/>
    </row>
    <row r="53" spans="1:5" ht="14.4" thickBot="1">
      <c r="A53" s="281" t="s">
        <v>66</v>
      </c>
      <c r="B53" s="308" t="s">
        <v>67</v>
      </c>
      <c r="C53" s="304" t="s">
        <v>68</v>
      </c>
      <c r="D53" s="305">
        <v>13</v>
      </c>
      <c r="E53" s="3"/>
    </row>
    <row r="54" spans="1:5" ht="14.4" thickBot="1">
      <c r="A54" s="320" t="s">
        <v>905</v>
      </c>
      <c r="B54" s="61" t="s">
        <v>906</v>
      </c>
      <c r="C54" s="61" t="s">
        <v>24</v>
      </c>
      <c r="D54" s="223" t="s">
        <v>913</v>
      </c>
      <c r="E54" s="3"/>
    </row>
    <row r="55" spans="1:5" ht="14.4" thickBot="1">
      <c r="A55" s="302" t="s">
        <v>385</v>
      </c>
      <c r="B55" s="303" t="s">
        <v>70</v>
      </c>
      <c r="C55" s="304" t="s">
        <v>24</v>
      </c>
      <c r="D55" s="305">
        <v>14</v>
      </c>
    </row>
    <row r="56" spans="1:5" ht="14.4" thickBot="1">
      <c r="A56" s="306" t="s">
        <v>386</v>
      </c>
      <c r="B56" s="303" t="s">
        <v>71</v>
      </c>
      <c r="C56" s="304" t="s">
        <v>24</v>
      </c>
      <c r="D56" s="305">
        <v>15</v>
      </c>
    </row>
    <row r="57" spans="1:5">
      <c r="A57" s="307" t="s">
        <v>733</v>
      </c>
      <c r="B57" s="303" t="s">
        <v>742</v>
      </c>
      <c r="C57" s="304" t="s">
        <v>24</v>
      </c>
      <c r="D57" s="353">
        <v>14</v>
      </c>
    </row>
    <row r="58" spans="1:5" ht="14.4" thickBot="1">
      <c r="A58" s="307" t="s">
        <v>734</v>
      </c>
      <c r="B58" s="303" t="s">
        <v>743</v>
      </c>
      <c r="C58" s="304" t="s">
        <v>24</v>
      </c>
      <c r="D58" s="354"/>
    </row>
    <row r="59" spans="1:5">
      <c r="A59" s="307" t="s">
        <v>735</v>
      </c>
      <c r="B59" s="303" t="s">
        <v>744</v>
      </c>
      <c r="C59" s="304" t="s">
        <v>24</v>
      </c>
      <c r="D59" s="355">
        <v>15</v>
      </c>
    </row>
    <row r="60" spans="1:5" ht="14.4" thickBot="1">
      <c r="A60" s="307" t="s">
        <v>736</v>
      </c>
      <c r="B60" s="303" t="s">
        <v>745</v>
      </c>
      <c r="C60" s="304" t="s">
        <v>24</v>
      </c>
      <c r="D60" s="356"/>
    </row>
    <row r="61" spans="1:5">
      <c r="A61" s="219" t="s">
        <v>69</v>
      </c>
      <c r="B61" s="12"/>
      <c r="C61" s="3"/>
      <c r="D61" s="3"/>
    </row>
  </sheetData>
  <mergeCells count="13">
    <mergeCell ref="D57:D58"/>
    <mergeCell ref="D59:D60"/>
    <mergeCell ref="D46:D48"/>
    <mergeCell ref="D2:D7"/>
    <mergeCell ref="D19:D20"/>
    <mergeCell ref="D28:D31"/>
    <mergeCell ref="D34:D37"/>
    <mergeCell ref="D32:D33"/>
    <mergeCell ref="D38:D39"/>
    <mergeCell ref="D8:D9"/>
    <mergeCell ref="D10:D12"/>
    <mergeCell ref="D13:D15"/>
    <mergeCell ref="D21:D27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8E4DC-70A2-4811-A341-11C0D5930976}">
  <sheetPr>
    <tabColor rgb="FFFFC000"/>
  </sheetPr>
  <dimension ref="A1:L202"/>
  <sheetViews>
    <sheetView zoomScale="55" zoomScaleNormal="55" workbookViewId="0">
      <pane ySplit="1" topLeftCell="A140" activePane="bottomLeft" state="frozen"/>
      <selection activeCell="A55" sqref="A55:D56"/>
      <selection pane="bottomLeft" activeCell="C32" sqref="C32:C34"/>
    </sheetView>
  </sheetViews>
  <sheetFormatPr defaultColWidth="8.88671875" defaultRowHeight="13.8"/>
  <cols>
    <col min="1" max="1" width="11" style="32" bestFit="1" customWidth="1"/>
    <col min="2" max="2" width="11.109375" style="32" bestFit="1" customWidth="1"/>
    <col min="3" max="3" width="46.77734375" style="16" customWidth="1"/>
    <col min="4" max="4" width="15.77734375" style="4" customWidth="1"/>
    <col min="5" max="5" width="8.88671875" style="224"/>
    <col min="6" max="6" width="4.44140625" style="15" customWidth="1"/>
    <col min="7" max="7" width="11" style="32" customWidth="1"/>
    <col min="8" max="8" width="11.109375" style="32" customWidth="1"/>
    <col min="9" max="9" width="46.77734375" style="16" customWidth="1"/>
    <col min="10" max="10" width="20.44140625" style="4" customWidth="1"/>
    <col min="11" max="11" width="8.88671875" style="4"/>
    <col min="12" max="12" width="4.44140625" style="15" customWidth="1"/>
    <col min="13" max="13" width="8.88671875" style="4"/>
    <col min="14" max="14" width="30.5546875" style="4" customWidth="1"/>
    <col min="15" max="16384" width="8.88671875" style="4"/>
  </cols>
  <sheetData>
    <row r="1" spans="1:12">
      <c r="A1" s="367" t="s">
        <v>72</v>
      </c>
      <c r="B1" s="368"/>
      <c r="C1" s="368"/>
      <c r="D1" s="368"/>
      <c r="E1" s="369"/>
      <c r="G1" s="367" t="s">
        <v>73</v>
      </c>
      <c r="H1" s="368"/>
      <c r="I1" s="368"/>
      <c r="J1" s="368"/>
      <c r="K1" s="369"/>
    </row>
    <row r="2" spans="1:12" s="22" customFormat="1">
      <c r="A2" s="17" t="s">
        <v>74</v>
      </c>
      <c r="B2" s="18" t="s">
        <v>75</v>
      </c>
      <c r="C2" s="63" t="s">
        <v>76</v>
      </c>
      <c r="D2" s="20" t="s">
        <v>77</v>
      </c>
      <c r="E2" s="238" t="s">
        <v>78</v>
      </c>
      <c r="F2" s="21"/>
      <c r="G2" s="17" t="s">
        <v>74</v>
      </c>
      <c r="H2" s="18" t="s">
        <v>75</v>
      </c>
      <c r="I2" s="63" t="s">
        <v>76</v>
      </c>
      <c r="J2" s="20" t="s">
        <v>77</v>
      </c>
      <c r="K2" s="20" t="s">
        <v>78</v>
      </c>
      <c r="L2" s="21"/>
    </row>
    <row r="3" spans="1:12">
      <c r="A3" s="72" t="str">
        <f>DEC2HEX(B3)</f>
        <v>0</v>
      </c>
      <c r="B3" s="24">
        <v>0</v>
      </c>
      <c r="C3" s="25" t="s">
        <v>195</v>
      </c>
      <c r="D3" s="26" t="s">
        <v>344</v>
      </c>
      <c r="E3" s="34" t="s">
        <v>82</v>
      </c>
      <c r="G3" s="72" t="str">
        <f>DEC2HEX(H3)</f>
        <v>0</v>
      </c>
      <c r="H3" s="24">
        <v>0</v>
      </c>
      <c r="I3" s="25" t="s">
        <v>195</v>
      </c>
      <c r="J3" s="26" t="s">
        <v>344</v>
      </c>
      <c r="K3" s="65" t="s">
        <v>389</v>
      </c>
    </row>
    <row r="4" spans="1:12">
      <c r="A4" s="72" t="str">
        <f t="shared" ref="A4:A65" si="0">DEC2HEX(B4)</f>
        <v>4</v>
      </c>
      <c r="B4" s="24">
        <f>B3+4</f>
        <v>4</v>
      </c>
      <c r="C4" s="30" t="s">
        <v>322</v>
      </c>
      <c r="D4" s="26" t="s">
        <v>345</v>
      </c>
      <c r="E4" s="34" t="s">
        <v>82</v>
      </c>
      <c r="G4" s="72" t="str">
        <f t="shared" ref="G4:G65" si="1">DEC2HEX(H4)</f>
        <v>2</v>
      </c>
      <c r="H4" s="24" t="s">
        <v>800</v>
      </c>
      <c r="I4" s="30" t="s">
        <v>322</v>
      </c>
      <c r="J4" s="26" t="s">
        <v>345</v>
      </c>
      <c r="K4" s="65" t="s">
        <v>389</v>
      </c>
    </row>
    <row r="5" spans="1:12">
      <c r="A5" s="72" t="str">
        <f t="shared" si="0"/>
        <v>8</v>
      </c>
      <c r="B5" s="24">
        <f>B4+4</f>
        <v>8</v>
      </c>
      <c r="C5" s="25" t="s">
        <v>323</v>
      </c>
      <c r="D5" s="26" t="s">
        <v>346</v>
      </c>
      <c r="E5" s="34" t="s">
        <v>82</v>
      </c>
      <c r="G5" s="72" t="str">
        <f t="shared" si="1"/>
        <v>4</v>
      </c>
      <c r="H5" s="24" t="s">
        <v>801</v>
      </c>
      <c r="I5" s="25" t="s">
        <v>323</v>
      </c>
      <c r="J5" s="26" t="s">
        <v>346</v>
      </c>
      <c r="K5" s="65" t="s">
        <v>389</v>
      </c>
    </row>
    <row r="6" spans="1:12">
      <c r="A6" s="72" t="str">
        <f t="shared" si="0"/>
        <v>C</v>
      </c>
      <c r="B6" s="24">
        <f t="shared" ref="B6" si="2">B5+4</f>
        <v>12</v>
      </c>
      <c r="C6" s="64" t="s">
        <v>101</v>
      </c>
      <c r="D6" s="26" t="s">
        <v>347</v>
      </c>
      <c r="E6" s="34" t="s">
        <v>82</v>
      </c>
      <c r="G6" s="72" t="str">
        <f t="shared" si="1"/>
        <v>6</v>
      </c>
      <c r="H6" s="24" t="s">
        <v>817</v>
      </c>
      <c r="I6" s="64" t="s">
        <v>101</v>
      </c>
      <c r="J6" s="26" t="s">
        <v>347</v>
      </c>
      <c r="K6" s="65" t="s">
        <v>389</v>
      </c>
    </row>
    <row r="7" spans="1:12">
      <c r="A7" s="72" t="str">
        <f t="shared" si="0"/>
        <v>10</v>
      </c>
      <c r="B7" s="27">
        <v>16</v>
      </c>
      <c r="C7" s="22" t="s">
        <v>149</v>
      </c>
      <c r="D7" s="26" t="s">
        <v>148</v>
      </c>
      <c r="E7" s="34" t="s">
        <v>82</v>
      </c>
      <c r="G7" s="72" t="str">
        <f t="shared" si="1"/>
        <v>8</v>
      </c>
      <c r="H7" s="24" t="s">
        <v>252</v>
      </c>
      <c r="I7" s="22" t="s">
        <v>149</v>
      </c>
      <c r="J7" s="26" t="s">
        <v>148</v>
      </c>
      <c r="K7" s="65" t="s">
        <v>389</v>
      </c>
    </row>
    <row r="8" spans="1:12">
      <c r="A8" s="72" t="str">
        <f t="shared" si="0"/>
        <v>14</v>
      </c>
      <c r="B8" s="27">
        <v>20</v>
      </c>
      <c r="C8" s="30" t="s">
        <v>343</v>
      </c>
      <c r="D8" s="26" t="s">
        <v>199</v>
      </c>
      <c r="E8" s="34" t="s">
        <v>82</v>
      </c>
      <c r="G8" s="72" t="str">
        <f t="shared" si="1"/>
        <v>A</v>
      </c>
      <c r="H8" s="24" t="s">
        <v>89</v>
      </c>
      <c r="I8" s="30" t="s">
        <v>343</v>
      </c>
      <c r="J8" s="26" t="s">
        <v>199</v>
      </c>
      <c r="K8" s="65" t="s">
        <v>389</v>
      </c>
    </row>
    <row r="9" spans="1:12">
      <c r="A9" s="72" t="str">
        <f t="shared" si="0"/>
        <v>18</v>
      </c>
      <c r="B9" s="27">
        <v>24</v>
      </c>
      <c r="C9" s="30" t="s">
        <v>201</v>
      </c>
      <c r="D9" s="26" t="s">
        <v>152</v>
      </c>
      <c r="E9" s="34" t="s">
        <v>82</v>
      </c>
      <c r="G9" s="72" t="str">
        <f t="shared" si="1"/>
        <v>C</v>
      </c>
      <c r="H9" s="24" t="s">
        <v>253</v>
      </c>
      <c r="I9" s="30" t="s">
        <v>201</v>
      </c>
      <c r="J9" s="26" t="s">
        <v>152</v>
      </c>
      <c r="K9" s="65" t="s">
        <v>389</v>
      </c>
    </row>
    <row r="10" spans="1:12">
      <c r="A10" s="72" t="str">
        <f t="shared" si="0"/>
        <v>1C</v>
      </c>
      <c r="B10" s="27">
        <v>28</v>
      </c>
      <c r="C10" s="64" t="s">
        <v>324</v>
      </c>
      <c r="D10" s="26" t="s">
        <v>348</v>
      </c>
      <c r="E10" s="34" t="s">
        <v>82</v>
      </c>
      <c r="G10" s="72" t="str">
        <f t="shared" si="1"/>
        <v>E</v>
      </c>
      <c r="H10" s="24" t="s">
        <v>92</v>
      </c>
      <c r="I10" s="64" t="s">
        <v>324</v>
      </c>
      <c r="J10" s="26" t="s">
        <v>348</v>
      </c>
      <c r="K10" s="65" t="s">
        <v>389</v>
      </c>
    </row>
    <row r="11" spans="1:12">
      <c r="A11" s="72" t="str">
        <f t="shared" si="0"/>
        <v>20</v>
      </c>
      <c r="B11" s="27">
        <v>32</v>
      </c>
      <c r="C11" s="30" t="s">
        <v>325</v>
      </c>
      <c r="D11" s="26" t="s">
        <v>349</v>
      </c>
      <c r="E11" s="34" t="s">
        <v>82</v>
      </c>
      <c r="G11" s="72" t="str">
        <f t="shared" si="1"/>
        <v>10</v>
      </c>
      <c r="H11" s="24" t="s">
        <v>254</v>
      </c>
      <c r="I11" s="30" t="s">
        <v>325</v>
      </c>
      <c r="J11" s="26" t="s">
        <v>349</v>
      </c>
      <c r="K11" s="65" t="s">
        <v>389</v>
      </c>
    </row>
    <row r="12" spans="1:12">
      <c r="A12" s="72" t="str">
        <f t="shared" si="0"/>
        <v>24</v>
      </c>
      <c r="B12" s="27">
        <v>36</v>
      </c>
      <c r="C12" s="30" t="s">
        <v>326</v>
      </c>
      <c r="D12" s="26" t="s">
        <v>196</v>
      </c>
      <c r="E12" s="34" t="s">
        <v>82</v>
      </c>
      <c r="G12" s="72" t="str">
        <f t="shared" si="1"/>
        <v>12</v>
      </c>
      <c r="H12" s="24" t="s">
        <v>95</v>
      </c>
      <c r="I12" s="30" t="s">
        <v>326</v>
      </c>
      <c r="J12" s="26" t="s">
        <v>196</v>
      </c>
      <c r="K12" s="65" t="s">
        <v>389</v>
      </c>
    </row>
    <row r="13" spans="1:12">
      <c r="A13" s="72" t="str">
        <f t="shared" si="0"/>
        <v>28</v>
      </c>
      <c r="B13" s="27">
        <v>40</v>
      </c>
      <c r="C13" s="25" t="s">
        <v>327</v>
      </c>
      <c r="D13" s="26" t="s">
        <v>350</v>
      </c>
      <c r="E13" s="34" t="s">
        <v>82</v>
      </c>
      <c r="G13" s="72" t="str">
        <f t="shared" si="1"/>
        <v>14</v>
      </c>
      <c r="H13" s="24" t="s">
        <v>98</v>
      </c>
      <c r="I13" s="25" t="s">
        <v>327</v>
      </c>
      <c r="J13" s="26" t="s">
        <v>350</v>
      </c>
      <c r="K13" s="65" t="s">
        <v>389</v>
      </c>
    </row>
    <row r="14" spans="1:12">
      <c r="A14" s="72" t="str">
        <f t="shared" si="0"/>
        <v>2C</v>
      </c>
      <c r="B14" s="27">
        <v>44</v>
      </c>
      <c r="C14" s="25" t="s">
        <v>135</v>
      </c>
      <c r="D14" s="26" t="s">
        <v>134</v>
      </c>
      <c r="E14" s="34" t="s">
        <v>82</v>
      </c>
      <c r="G14" s="72" t="str">
        <f t="shared" si="1"/>
        <v>16</v>
      </c>
      <c r="H14" s="24" t="s">
        <v>802</v>
      </c>
      <c r="I14" s="25" t="s">
        <v>135</v>
      </c>
      <c r="J14" s="26" t="s">
        <v>134</v>
      </c>
      <c r="K14" s="65" t="s">
        <v>389</v>
      </c>
    </row>
    <row r="15" spans="1:12">
      <c r="A15" s="72" t="str">
        <f t="shared" si="0"/>
        <v>30</v>
      </c>
      <c r="B15" s="27">
        <v>48</v>
      </c>
      <c r="C15" s="25" t="s">
        <v>328</v>
      </c>
      <c r="D15" s="26" t="s">
        <v>155</v>
      </c>
      <c r="E15" s="34" t="s">
        <v>82</v>
      </c>
      <c r="G15" s="72" t="str">
        <f t="shared" si="1"/>
        <v>18</v>
      </c>
      <c r="H15" s="24" t="s">
        <v>102</v>
      </c>
      <c r="I15" s="25" t="s">
        <v>328</v>
      </c>
      <c r="J15" s="26" t="s">
        <v>155</v>
      </c>
      <c r="K15" s="65" t="s">
        <v>389</v>
      </c>
    </row>
    <row r="16" spans="1:12">
      <c r="A16" s="72" t="str">
        <f t="shared" si="0"/>
        <v>34</v>
      </c>
      <c r="B16" s="27">
        <v>52</v>
      </c>
      <c r="C16" s="64" t="s">
        <v>156</v>
      </c>
      <c r="D16" s="26" t="s">
        <v>184</v>
      </c>
      <c r="E16" s="34" t="s">
        <v>82</v>
      </c>
      <c r="G16" s="72" t="str">
        <f t="shared" si="1"/>
        <v>1A</v>
      </c>
      <c r="H16" s="24" t="s">
        <v>803</v>
      </c>
      <c r="I16" s="64" t="s">
        <v>156</v>
      </c>
      <c r="J16" s="26" t="s">
        <v>184</v>
      </c>
      <c r="K16" s="65" t="s">
        <v>389</v>
      </c>
    </row>
    <row r="17" spans="1:11">
      <c r="A17" s="72" t="str">
        <f t="shared" si="0"/>
        <v>38</v>
      </c>
      <c r="B17" s="27">
        <v>56</v>
      </c>
      <c r="C17" s="25" t="s">
        <v>329</v>
      </c>
      <c r="D17" s="26" t="s">
        <v>351</v>
      </c>
      <c r="E17" s="34" t="s">
        <v>82</v>
      </c>
      <c r="G17" s="72" t="str">
        <f t="shared" si="1"/>
        <v>1C</v>
      </c>
      <c r="H17" s="24" t="s">
        <v>103</v>
      </c>
      <c r="I17" s="25" t="s">
        <v>329</v>
      </c>
      <c r="J17" s="26" t="s">
        <v>351</v>
      </c>
      <c r="K17" s="65" t="s">
        <v>389</v>
      </c>
    </row>
    <row r="18" spans="1:11">
      <c r="A18" s="72" t="str">
        <f t="shared" si="0"/>
        <v>3C</v>
      </c>
      <c r="B18" s="27">
        <v>60</v>
      </c>
      <c r="C18" s="25" t="s">
        <v>330</v>
      </c>
      <c r="D18" s="26" t="s">
        <v>198</v>
      </c>
      <c r="E18" s="34" t="s">
        <v>82</v>
      </c>
      <c r="G18" s="72" t="str">
        <f t="shared" si="1"/>
        <v>1E</v>
      </c>
      <c r="H18" s="24" t="s">
        <v>112</v>
      </c>
      <c r="I18" s="25" t="s">
        <v>330</v>
      </c>
      <c r="J18" s="26" t="s">
        <v>198</v>
      </c>
      <c r="K18" s="65" t="s">
        <v>389</v>
      </c>
    </row>
    <row r="19" spans="1:11">
      <c r="A19" s="72" t="str">
        <f t="shared" si="0"/>
        <v>40</v>
      </c>
      <c r="B19" s="27">
        <v>64</v>
      </c>
      <c r="C19" s="64" t="s">
        <v>331</v>
      </c>
      <c r="D19" s="26" t="s">
        <v>128</v>
      </c>
      <c r="E19" s="34" t="s">
        <v>82</v>
      </c>
      <c r="G19" s="72" t="str">
        <f t="shared" si="1"/>
        <v>20</v>
      </c>
      <c r="H19" s="24" t="s">
        <v>804</v>
      </c>
      <c r="I19" s="64" t="s">
        <v>331</v>
      </c>
      <c r="J19" s="26" t="s">
        <v>128</v>
      </c>
      <c r="K19" s="65" t="s">
        <v>389</v>
      </c>
    </row>
    <row r="20" spans="1:11">
      <c r="A20" s="72" t="str">
        <f t="shared" si="0"/>
        <v>44</v>
      </c>
      <c r="B20" s="27">
        <v>68</v>
      </c>
      <c r="C20" s="64" t="s">
        <v>332</v>
      </c>
      <c r="D20" s="26" t="s">
        <v>197</v>
      </c>
      <c r="E20" s="34" t="s">
        <v>82</v>
      </c>
      <c r="G20" s="72" t="str">
        <f t="shared" si="1"/>
        <v>22</v>
      </c>
      <c r="H20" s="24" t="s">
        <v>114</v>
      </c>
      <c r="I20" s="64" t="s">
        <v>332</v>
      </c>
      <c r="J20" s="26" t="s">
        <v>197</v>
      </c>
      <c r="K20" s="65" t="s">
        <v>389</v>
      </c>
    </row>
    <row r="21" spans="1:11">
      <c r="A21" s="72" t="str">
        <f t="shared" si="0"/>
        <v>48</v>
      </c>
      <c r="B21" s="27">
        <v>72</v>
      </c>
      <c r="C21" s="345" t="s">
        <v>206</v>
      </c>
      <c r="D21" s="26" t="s">
        <v>352</v>
      </c>
      <c r="E21" s="34" t="s">
        <v>82</v>
      </c>
      <c r="G21" s="72" t="str">
        <f t="shared" si="1"/>
        <v>24</v>
      </c>
      <c r="H21" s="24" t="s">
        <v>805</v>
      </c>
      <c r="I21" s="345" t="s">
        <v>206</v>
      </c>
      <c r="J21" s="26" t="s">
        <v>352</v>
      </c>
      <c r="K21" s="65" t="s">
        <v>389</v>
      </c>
    </row>
    <row r="22" spans="1:11">
      <c r="A22" s="72" t="str">
        <f t="shared" si="0"/>
        <v>4C</v>
      </c>
      <c r="B22" s="27">
        <v>76</v>
      </c>
      <c r="C22" s="345" t="s">
        <v>339</v>
      </c>
      <c r="D22" s="26" t="s">
        <v>353</v>
      </c>
      <c r="E22" s="34" t="s">
        <v>82</v>
      </c>
      <c r="G22" s="72" t="str">
        <f t="shared" si="1"/>
        <v>26</v>
      </c>
      <c r="H22" s="24" t="s">
        <v>118</v>
      </c>
      <c r="I22" s="345" t="s">
        <v>339</v>
      </c>
      <c r="J22" s="26" t="s">
        <v>353</v>
      </c>
      <c r="K22" s="65" t="s">
        <v>389</v>
      </c>
    </row>
    <row r="23" spans="1:11">
      <c r="A23" s="72" t="str">
        <f t="shared" si="0"/>
        <v>50</v>
      </c>
      <c r="B23" s="27">
        <v>80</v>
      </c>
      <c r="C23" s="345" t="s">
        <v>340</v>
      </c>
      <c r="D23" s="26" t="s">
        <v>208</v>
      </c>
      <c r="E23" s="34" t="s">
        <v>82</v>
      </c>
      <c r="G23" s="72" t="str">
        <f t="shared" si="1"/>
        <v>28</v>
      </c>
      <c r="H23" s="24" t="s">
        <v>125</v>
      </c>
      <c r="I23" s="345" t="s">
        <v>340</v>
      </c>
      <c r="J23" s="26" t="s">
        <v>208</v>
      </c>
      <c r="K23" s="65" t="s">
        <v>389</v>
      </c>
    </row>
    <row r="24" spans="1:11">
      <c r="A24" s="72" t="str">
        <f t="shared" si="0"/>
        <v>54</v>
      </c>
      <c r="B24" s="27">
        <v>84</v>
      </c>
      <c r="C24" s="31" t="s">
        <v>333</v>
      </c>
      <c r="D24" s="26" t="s">
        <v>354</v>
      </c>
      <c r="E24" s="34" t="s">
        <v>82</v>
      </c>
      <c r="G24" s="72" t="str">
        <f t="shared" si="1"/>
        <v>2A</v>
      </c>
      <c r="H24" s="24" t="s">
        <v>806</v>
      </c>
      <c r="I24" s="31" t="s">
        <v>333</v>
      </c>
      <c r="J24" s="26" t="s">
        <v>354</v>
      </c>
      <c r="K24" s="65" t="s">
        <v>389</v>
      </c>
    </row>
    <row r="25" spans="1:11">
      <c r="A25" s="72" t="str">
        <f t="shared" si="0"/>
        <v>58</v>
      </c>
      <c r="B25" s="27">
        <v>88</v>
      </c>
      <c r="C25" s="64" t="s">
        <v>334</v>
      </c>
      <c r="D25" s="26" t="s">
        <v>355</v>
      </c>
      <c r="E25" s="34" t="s">
        <v>82</v>
      </c>
      <c r="G25" s="72" t="str">
        <f t="shared" si="1"/>
        <v>2C</v>
      </c>
      <c r="H25" s="24" t="s">
        <v>129</v>
      </c>
      <c r="I25" s="64" t="s">
        <v>334</v>
      </c>
      <c r="J25" s="26" t="s">
        <v>355</v>
      </c>
      <c r="K25" s="65" t="s">
        <v>389</v>
      </c>
    </row>
    <row r="26" spans="1:11">
      <c r="A26" s="72" t="str">
        <f t="shared" si="0"/>
        <v>5C</v>
      </c>
      <c r="B26" s="27">
        <v>92</v>
      </c>
      <c r="C26" s="25" t="s">
        <v>335</v>
      </c>
      <c r="D26" s="26" t="s">
        <v>356</v>
      </c>
      <c r="E26" s="34" t="s">
        <v>82</v>
      </c>
      <c r="G26" s="72" t="str">
        <f t="shared" si="1"/>
        <v>2E</v>
      </c>
      <c r="H26" s="24" t="s">
        <v>807</v>
      </c>
      <c r="I26" s="25" t="s">
        <v>335</v>
      </c>
      <c r="J26" s="26" t="s">
        <v>356</v>
      </c>
      <c r="K26" s="65" t="s">
        <v>389</v>
      </c>
    </row>
    <row r="27" spans="1:11">
      <c r="A27" s="72" t="str">
        <f t="shared" si="0"/>
        <v>60</v>
      </c>
      <c r="B27" s="27">
        <v>96</v>
      </c>
      <c r="C27" s="25" t="s">
        <v>336</v>
      </c>
      <c r="D27" s="26" t="s">
        <v>357</v>
      </c>
      <c r="E27" s="34" t="s">
        <v>82</v>
      </c>
      <c r="G27" s="72" t="str">
        <f t="shared" si="1"/>
        <v>30</v>
      </c>
      <c r="H27" s="24" t="s">
        <v>131</v>
      </c>
      <c r="I27" s="25" t="s">
        <v>336</v>
      </c>
      <c r="J27" s="26" t="s">
        <v>357</v>
      </c>
      <c r="K27" s="65" t="s">
        <v>389</v>
      </c>
    </row>
    <row r="28" spans="1:11">
      <c r="A28" s="72" t="str">
        <f t="shared" si="0"/>
        <v>64</v>
      </c>
      <c r="B28" s="27">
        <v>100</v>
      </c>
      <c r="C28" s="25" t="s">
        <v>337</v>
      </c>
      <c r="D28" s="26" t="s">
        <v>207</v>
      </c>
      <c r="E28" s="34" t="s">
        <v>82</v>
      </c>
      <c r="G28" s="72" t="str">
        <f t="shared" si="1"/>
        <v>32</v>
      </c>
      <c r="H28" s="24" t="s">
        <v>140</v>
      </c>
      <c r="I28" s="25" t="s">
        <v>337</v>
      </c>
      <c r="J28" s="26" t="s">
        <v>207</v>
      </c>
      <c r="K28" s="65" t="s">
        <v>389</v>
      </c>
    </row>
    <row r="29" spans="1:11">
      <c r="A29" s="72" t="str">
        <f t="shared" si="0"/>
        <v>68</v>
      </c>
      <c r="B29" s="27">
        <v>104</v>
      </c>
      <c r="C29" s="25" t="s">
        <v>204</v>
      </c>
      <c r="D29" s="26" t="s">
        <v>203</v>
      </c>
      <c r="E29" s="34" t="s">
        <v>82</v>
      </c>
      <c r="G29" s="72" t="str">
        <f t="shared" si="1"/>
        <v>34</v>
      </c>
      <c r="H29" s="24" t="s">
        <v>808</v>
      </c>
      <c r="I29" s="25" t="s">
        <v>204</v>
      </c>
      <c r="J29" s="26" t="s">
        <v>203</v>
      </c>
      <c r="K29" s="65" t="s">
        <v>389</v>
      </c>
    </row>
    <row r="30" spans="1:11">
      <c r="A30" s="72" t="str">
        <f t="shared" si="0"/>
        <v>6C</v>
      </c>
      <c r="B30" s="27">
        <v>108</v>
      </c>
      <c r="C30" s="25" t="s">
        <v>338</v>
      </c>
      <c r="D30" s="26" t="s">
        <v>358</v>
      </c>
      <c r="E30" s="34" t="s">
        <v>82</v>
      </c>
      <c r="G30" s="72" t="str">
        <f t="shared" si="1"/>
        <v>36</v>
      </c>
      <c r="H30" s="24" t="s">
        <v>145</v>
      </c>
      <c r="I30" s="25" t="s">
        <v>338</v>
      </c>
      <c r="J30" s="26" t="s">
        <v>358</v>
      </c>
      <c r="K30" s="65" t="s">
        <v>389</v>
      </c>
    </row>
    <row r="31" spans="1:11">
      <c r="A31" s="72" t="str">
        <f t="shared" si="0"/>
        <v>70</v>
      </c>
      <c r="B31" s="27">
        <v>112</v>
      </c>
      <c r="C31" s="25" t="s">
        <v>122</v>
      </c>
      <c r="D31" s="26" t="s">
        <v>121</v>
      </c>
      <c r="E31" s="34" t="s">
        <v>82</v>
      </c>
      <c r="G31" s="72" t="str">
        <f t="shared" si="1"/>
        <v>38</v>
      </c>
      <c r="H31" s="24" t="s">
        <v>809</v>
      </c>
      <c r="I31" s="25" t="s">
        <v>122</v>
      </c>
      <c r="J31" s="26" t="s">
        <v>121</v>
      </c>
      <c r="K31" s="65" t="s">
        <v>389</v>
      </c>
    </row>
    <row r="32" spans="1:11">
      <c r="A32" s="72" t="str">
        <f t="shared" si="0"/>
        <v>74</v>
      </c>
      <c r="B32" s="27">
        <v>116</v>
      </c>
      <c r="C32" s="345" t="s">
        <v>217</v>
      </c>
      <c r="D32" s="26" t="s">
        <v>202</v>
      </c>
      <c r="E32" s="34" t="s">
        <v>82</v>
      </c>
      <c r="G32" s="72" t="str">
        <f t="shared" si="1"/>
        <v>3A</v>
      </c>
      <c r="H32" s="24" t="s">
        <v>150</v>
      </c>
      <c r="I32" s="345" t="s">
        <v>217</v>
      </c>
      <c r="J32" s="26" t="s">
        <v>1025</v>
      </c>
      <c r="K32" s="65" t="s">
        <v>389</v>
      </c>
    </row>
    <row r="33" spans="1:11">
      <c r="A33" s="72" t="str">
        <f t="shared" si="0"/>
        <v>78</v>
      </c>
      <c r="B33" s="27">
        <v>120</v>
      </c>
      <c r="C33" s="345" t="s">
        <v>223</v>
      </c>
      <c r="D33" s="26" t="s">
        <v>359</v>
      </c>
      <c r="E33" s="34" t="s">
        <v>82</v>
      </c>
      <c r="G33" s="72" t="str">
        <f t="shared" si="1"/>
        <v>3C</v>
      </c>
      <c r="H33" s="24" t="s">
        <v>157</v>
      </c>
      <c r="I33" s="345" t="s">
        <v>223</v>
      </c>
      <c r="J33" s="26" t="s">
        <v>359</v>
      </c>
      <c r="K33" s="65" t="s">
        <v>389</v>
      </c>
    </row>
    <row r="34" spans="1:11">
      <c r="A34" s="72" t="str">
        <f t="shared" si="0"/>
        <v>7C</v>
      </c>
      <c r="B34" s="27">
        <v>124</v>
      </c>
      <c r="C34" s="345" t="s">
        <v>226</v>
      </c>
      <c r="D34" s="26" t="s">
        <v>360</v>
      </c>
      <c r="E34" s="34" t="s">
        <v>82</v>
      </c>
      <c r="G34" s="72" t="str">
        <f t="shared" si="1"/>
        <v>3E</v>
      </c>
      <c r="H34" s="24" t="s">
        <v>810</v>
      </c>
      <c r="I34" s="345" t="s">
        <v>226</v>
      </c>
      <c r="J34" s="26" t="s">
        <v>360</v>
      </c>
      <c r="K34" s="65" t="s">
        <v>389</v>
      </c>
    </row>
    <row r="35" spans="1:11">
      <c r="A35" s="72" t="str">
        <f t="shared" si="0"/>
        <v>80</v>
      </c>
      <c r="B35" s="27">
        <v>128</v>
      </c>
      <c r="C35" s="25" t="s">
        <v>175</v>
      </c>
      <c r="D35" s="26" t="s">
        <v>174</v>
      </c>
      <c r="E35" s="34" t="s">
        <v>82</v>
      </c>
      <c r="G35" s="72" t="str">
        <f t="shared" si="1"/>
        <v>40</v>
      </c>
      <c r="H35" s="24" t="s">
        <v>162</v>
      </c>
      <c r="I35" s="25" t="s">
        <v>175</v>
      </c>
      <c r="J35" s="26" t="s">
        <v>174</v>
      </c>
      <c r="K35" s="65" t="s">
        <v>389</v>
      </c>
    </row>
    <row r="36" spans="1:11">
      <c r="A36" s="72" t="str">
        <f t="shared" si="0"/>
        <v>84</v>
      </c>
      <c r="B36" s="27">
        <v>132</v>
      </c>
      <c r="C36" s="31" t="s">
        <v>180</v>
      </c>
      <c r="D36" s="26" t="s">
        <v>179</v>
      </c>
      <c r="E36" s="34" t="s">
        <v>82</v>
      </c>
      <c r="G36" s="72" t="str">
        <f t="shared" si="1"/>
        <v>42</v>
      </c>
      <c r="H36" s="24" t="s">
        <v>811</v>
      </c>
      <c r="I36" s="31" t="s">
        <v>180</v>
      </c>
      <c r="J36" s="26" t="s">
        <v>179</v>
      </c>
      <c r="K36" s="65" t="s">
        <v>389</v>
      </c>
    </row>
    <row r="37" spans="1:11">
      <c r="A37" s="72" t="str">
        <f t="shared" si="0"/>
        <v>88</v>
      </c>
      <c r="B37" s="27">
        <v>136</v>
      </c>
      <c r="C37" s="25" t="s">
        <v>211</v>
      </c>
      <c r="D37" s="26" t="s">
        <v>210</v>
      </c>
      <c r="E37" s="34" t="s">
        <v>82</v>
      </c>
      <c r="G37" s="72" t="str">
        <f t="shared" si="1"/>
        <v>44</v>
      </c>
      <c r="H37" s="24" t="s">
        <v>167</v>
      </c>
      <c r="I37" s="25" t="s">
        <v>211</v>
      </c>
      <c r="J37" s="26" t="s">
        <v>210</v>
      </c>
      <c r="K37" s="65" t="s">
        <v>389</v>
      </c>
    </row>
    <row r="38" spans="1:11">
      <c r="A38" s="72" t="str">
        <f t="shared" si="0"/>
        <v>8C</v>
      </c>
      <c r="B38" s="27">
        <v>140</v>
      </c>
      <c r="C38" s="31" t="s">
        <v>213</v>
      </c>
      <c r="D38" s="26" t="s">
        <v>212</v>
      </c>
      <c r="E38" s="34" t="s">
        <v>82</v>
      </c>
      <c r="G38" s="72" t="str">
        <f t="shared" si="1"/>
        <v>46</v>
      </c>
      <c r="H38" s="24" t="s">
        <v>176</v>
      </c>
      <c r="I38" s="31" t="s">
        <v>213</v>
      </c>
      <c r="J38" s="26" t="s">
        <v>212</v>
      </c>
      <c r="K38" s="65" t="s">
        <v>389</v>
      </c>
    </row>
    <row r="39" spans="1:11">
      <c r="A39" s="72" t="str">
        <f t="shared" si="0"/>
        <v>90</v>
      </c>
      <c r="B39" s="27">
        <v>144</v>
      </c>
      <c r="C39" s="31" t="s">
        <v>388</v>
      </c>
      <c r="D39" s="26" t="s">
        <v>361</v>
      </c>
      <c r="E39" s="34" t="s">
        <v>82</v>
      </c>
      <c r="G39" s="72" t="str">
        <f t="shared" si="1"/>
        <v>48</v>
      </c>
      <c r="H39" s="24" t="s">
        <v>812</v>
      </c>
      <c r="I39" s="31" t="s">
        <v>229</v>
      </c>
      <c r="J39" s="26" t="s">
        <v>361</v>
      </c>
      <c r="K39" s="65" t="s">
        <v>389</v>
      </c>
    </row>
    <row r="40" spans="1:11">
      <c r="A40" s="72" t="str">
        <f t="shared" si="0"/>
        <v>94</v>
      </c>
      <c r="B40" s="27">
        <v>148</v>
      </c>
      <c r="C40" s="31" t="s">
        <v>230</v>
      </c>
      <c r="D40" s="26" t="s">
        <v>117</v>
      </c>
      <c r="E40" s="34" t="s">
        <v>82</v>
      </c>
      <c r="G40" s="72" t="str">
        <f t="shared" si="1"/>
        <v>4A</v>
      </c>
      <c r="H40" s="24" t="s">
        <v>181</v>
      </c>
      <c r="I40" s="31" t="s">
        <v>230</v>
      </c>
      <c r="J40" s="26" t="s">
        <v>117</v>
      </c>
      <c r="K40" s="65" t="s">
        <v>389</v>
      </c>
    </row>
    <row r="41" spans="1:11">
      <c r="A41" s="72" t="str">
        <f t="shared" si="0"/>
        <v>98</v>
      </c>
      <c r="B41" s="27">
        <v>152</v>
      </c>
      <c r="C41" s="31" t="s">
        <v>227</v>
      </c>
      <c r="D41" s="26" t="s">
        <v>362</v>
      </c>
      <c r="E41" s="34" t="s">
        <v>82</v>
      </c>
      <c r="G41" s="72" t="str">
        <f t="shared" si="1"/>
        <v>4C</v>
      </c>
      <c r="H41" s="24" t="s">
        <v>813</v>
      </c>
      <c r="I41" s="31" t="s">
        <v>227</v>
      </c>
      <c r="J41" s="26" t="s">
        <v>362</v>
      </c>
      <c r="K41" s="65" t="s">
        <v>389</v>
      </c>
    </row>
    <row r="42" spans="1:11">
      <c r="A42" s="72" t="str">
        <f t="shared" si="0"/>
        <v>9C</v>
      </c>
      <c r="B42" s="27">
        <v>156</v>
      </c>
      <c r="C42" s="25" t="s">
        <v>228</v>
      </c>
      <c r="D42" s="26" t="s">
        <v>205</v>
      </c>
      <c r="E42" s="34" t="s">
        <v>82</v>
      </c>
      <c r="G42" s="72" t="str">
        <f t="shared" si="1"/>
        <v>4E</v>
      </c>
      <c r="H42" s="24" t="s">
        <v>185</v>
      </c>
      <c r="I42" s="25" t="s">
        <v>228</v>
      </c>
      <c r="J42" s="26" t="s">
        <v>205</v>
      </c>
      <c r="K42" s="65" t="s">
        <v>389</v>
      </c>
    </row>
    <row r="43" spans="1:11">
      <c r="A43" s="72" t="str">
        <f t="shared" si="0"/>
        <v>A0</v>
      </c>
      <c r="B43" s="27">
        <v>160</v>
      </c>
      <c r="C43" s="25" t="s">
        <v>166</v>
      </c>
      <c r="D43" s="26" t="s">
        <v>165</v>
      </c>
      <c r="E43" s="34" t="s">
        <v>82</v>
      </c>
      <c r="G43" s="72" t="str">
        <f t="shared" si="1"/>
        <v>50</v>
      </c>
      <c r="H43" s="24" t="s">
        <v>814</v>
      </c>
      <c r="I43" s="25" t="s">
        <v>166</v>
      </c>
      <c r="J43" s="26" t="s">
        <v>165</v>
      </c>
      <c r="K43" s="65" t="s">
        <v>389</v>
      </c>
    </row>
    <row r="44" spans="1:11">
      <c r="A44" s="72" t="str">
        <f t="shared" si="0"/>
        <v>A4</v>
      </c>
      <c r="B44" s="27">
        <v>164</v>
      </c>
      <c r="C44" s="25" t="s">
        <v>139</v>
      </c>
      <c r="D44" s="26" t="s">
        <v>138</v>
      </c>
      <c r="E44" s="34" t="s">
        <v>82</v>
      </c>
      <c r="G44" s="72" t="str">
        <f t="shared" si="1"/>
        <v>52</v>
      </c>
      <c r="H44" s="24" t="s">
        <v>815</v>
      </c>
      <c r="I44" s="25" t="s">
        <v>139</v>
      </c>
      <c r="J44" s="26" t="s">
        <v>138</v>
      </c>
      <c r="K44" s="65" t="s">
        <v>389</v>
      </c>
    </row>
    <row r="45" spans="1:11">
      <c r="A45" s="72" t="str">
        <f t="shared" si="0"/>
        <v>A8</v>
      </c>
      <c r="B45" s="27">
        <v>168</v>
      </c>
      <c r="C45" s="30" t="s">
        <v>171</v>
      </c>
      <c r="D45" s="26" t="s">
        <v>170</v>
      </c>
      <c r="E45" s="34" t="s">
        <v>82</v>
      </c>
      <c r="G45" s="72" t="str">
        <f t="shared" si="1"/>
        <v>54</v>
      </c>
      <c r="H45" s="24" t="s">
        <v>816</v>
      </c>
      <c r="I45" s="30" t="s">
        <v>171</v>
      </c>
      <c r="J45" s="26" t="s">
        <v>170</v>
      </c>
      <c r="K45" s="65" t="s">
        <v>389</v>
      </c>
    </row>
    <row r="46" spans="1:11">
      <c r="A46" s="72" t="str">
        <f t="shared" si="0"/>
        <v>AC</v>
      </c>
      <c r="B46" s="27">
        <v>172</v>
      </c>
      <c r="C46" s="25" t="s">
        <v>111</v>
      </c>
      <c r="D46" s="26" t="s">
        <v>363</v>
      </c>
      <c r="E46" s="34" t="s">
        <v>82</v>
      </c>
      <c r="G46" s="72" t="str">
        <f t="shared" si="1"/>
        <v>56</v>
      </c>
      <c r="H46" s="24" t="s">
        <v>818</v>
      </c>
      <c r="I46" s="25" t="s">
        <v>111</v>
      </c>
      <c r="J46" s="26" t="s">
        <v>363</v>
      </c>
      <c r="K46" s="65" t="s">
        <v>389</v>
      </c>
    </row>
    <row r="47" spans="1:11">
      <c r="A47" s="72" t="str">
        <f t="shared" si="0"/>
        <v>B0</v>
      </c>
      <c r="B47" s="27">
        <v>176</v>
      </c>
      <c r="C47" s="25" t="s">
        <v>161</v>
      </c>
      <c r="D47" s="26" t="s">
        <v>160</v>
      </c>
      <c r="E47" s="34" t="s">
        <v>82</v>
      </c>
      <c r="G47" s="72" t="str">
        <f t="shared" si="1"/>
        <v>58</v>
      </c>
      <c r="H47" s="24" t="s">
        <v>819</v>
      </c>
      <c r="I47" s="25" t="s">
        <v>161</v>
      </c>
      <c r="J47" s="26" t="s">
        <v>160</v>
      </c>
      <c r="K47" s="65" t="s">
        <v>389</v>
      </c>
    </row>
    <row r="48" spans="1:11">
      <c r="A48" s="72" t="str">
        <f t="shared" si="0"/>
        <v>B4</v>
      </c>
      <c r="B48" s="27">
        <v>180</v>
      </c>
      <c r="C48" s="25" t="s">
        <v>189</v>
      </c>
      <c r="D48" s="26" t="s">
        <v>188</v>
      </c>
      <c r="E48" s="34" t="s">
        <v>82</v>
      </c>
      <c r="G48" s="72" t="str">
        <f t="shared" si="1"/>
        <v>5A</v>
      </c>
      <c r="H48" s="24" t="s">
        <v>820</v>
      </c>
      <c r="I48" s="25" t="s">
        <v>189</v>
      </c>
      <c r="J48" s="26" t="s">
        <v>188</v>
      </c>
      <c r="K48" s="65" t="s">
        <v>389</v>
      </c>
    </row>
    <row r="49" spans="1:11">
      <c r="A49" s="72" t="str">
        <f t="shared" si="0"/>
        <v>B8</v>
      </c>
      <c r="B49" s="27">
        <v>184</v>
      </c>
      <c r="C49" s="25" t="s">
        <v>191</v>
      </c>
      <c r="D49" s="26" t="s">
        <v>190</v>
      </c>
      <c r="E49" s="34" t="s">
        <v>82</v>
      </c>
      <c r="G49" s="72" t="str">
        <f t="shared" si="1"/>
        <v>5C</v>
      </c>
      <c r="H49" s="24" t="s">
        <v>821</v>
      </c>
      <c r="I49" s="25" t="s">
        <v>191</v>
      </c>
      <c r="J49" s="26" t="s">
        <v>190</v>
      </c>
      <c r="K49" s="65" t="s">
        <v>389</v>
      </c>
    </row>
    <row r="50" spans="1:11">
      <c r="A50" s="72" t="str">
        <f t="shared" si="0"/>
        <v>BC</v>
      </c>
      <c r="B50" s="27">
        <v>188</v>
      </c>
      <c r="C50" s="25" t="s">
        <v>144</v>
      </c>
      <c r="D50" s="26" t="s">
        <v>143</v>
      </c>
      <c r="E50" s="34" t="s">
        <v>82</v>
      </c>
      <c r="G50" s="72" t="str">
        <f t="shared" si="1"/>
        <v>5E</v>
      </c>
      <c r="H50" s="24" t="s">
        <v>822</v>
      </c>
      <c r="I50" s="25" t="s">
        <v>144</v>
      </c>
      <c r="J50" s="26" t="s">
        <v>143</v>
      </c>
      <c r="K50" s="65" t="s">
        <v>389</v>
      </c>
    </row>
    <row r="51" spans="1:11">
      <c r="A51" s="72" t="str">
        <f t="shared" si="0"/>
        <v>C0</v>
      </c>
      <c r="B51" s="27">
        <v>192</v>
      </c>
      <c r="C51" s="25" t="s">
        <v>193</v>
      </c>
      <c r="D51" s="26" t="s">
        <v>192</v>
      </c>
      <c r="E51" s="34" t="s">
        <v>82</v>
      </c>
      <c r="G51" s="72" t="str">
        <f t="shared" si="1"/>
        <v>60</v>
      </c>
      <c r="H51" s="24" t="s">
        <v>823</v>
      </c>
      <c r="I51" s="25" t="s">
        <v>193</v>
      </c>
      <c r="J51" s="26" t="s">
        <v>192</v>
      </c>
      <c r="K51" s="65" t="s">
        <v>389</v>
      </c>
    </row>
    <row r="52" spans="1:11">
      <c r="A52" s="72" t="str">
        <f t="shared" si="0"/>
        <v>C4</v>
      </c>
      <c r="B52" s="27">
        <v>196</v>
      </c>
      <c r="C52" s="25" t="s">
        <v>107</v>
      </c>
      <c r="D52" s="26" t="s">
        <v>106</v>
      </c>
      <c r="E52" s="34" t="s">
        <v>82</v>
      </c>
      <c r="G52" s="72" t="str">
        <f t="shared" si="1"/>
        <v>62</v>
      </c>
      <c r="H52" s="24" t="s">
        <v>824</v>
      </c>
      <c r="I52" s="25" t="s">
        <v>107</v>
      </c>
      <c r="J52" s="26" t="s">
        <v>106</v>
      </c>
      <c r="K52" s="65" t="s">
        <v>389</v>
      </c>
    </row>
    <row r="53" spans="1:11">
      <c r="A53" s="72" t="str">
        <f t="shared" si="0"/>
        <v>C8</v>
      </c>
      <c r="B53" s="27">
        <v>200</v>
      </c>
      <c r="C53" s="25" t="s">
        <v>224</v>
      </c>
      <c r="D53" s="26" t="s">
        <v>364</v>
      </c>
      <c r="E53" s="34" t="s">
        <v>82</v>
      </c>
      <c r="G53" s="72" t="str">
        <f t="shared" si="1"/>
        <v>64</v>
      </c>
      <c r="H53" s="24" t="s">
        <v>825</v>
      </c>
      <c r="I53" s="25" t="s">
        <v>224</v>
      </c>
      <c r="J53" s="26" t="s">
        <v>364</v>
      </c>
      <c r="K53" s="65" t="s">
        <v>389</v>
      </c>
    </row>
    <row r="54" spans="1:11">
      <c r="A54" s="72" t="str">
        <f t="shared" si="0"/>
        <v>CC</v>
      </c>
      <c r="B54" s="27">
        <v>204</v>
      </c>
      <c r="C54" s="25" t="s">
        <v>216</v>
      </c>
      <c r="D54" s="26" t="s">
        <v>365</v>
      </c>
      <c r="E54" s="34" t="s">
        <v>82</v>
      </c>
      <c r="G54" s="72" t="str">
        <f t="shared" si="1"/>
        <v>66</v>
      </c>
      <c r="H54" s="24" t="s">
        <v>826</v>
      </c>
      <c r="I54" s="25" t="s">
        <v>216</v>
      </c>
      <c r="J54" s="26" t="s">
        <v>365</v>
      </c>
      <c r="K54" s="65" t="s">
        <v>389</v>
      </c>
    </row>
    <row r="55" spans="1:11">
      <c r="A55" s="72" t="str">
        <f t="shared" si="0"/>
        <v>D0</v>
      </c>
      <c r="B55" s="27">
        <v>208</v>
      </c>
      <c r="C55" s="25" t="s">
        <v>225</v>
      </c>
      <c r="D55" s="26" t="s">
        <v>366</v>
      </c>
      <c r="E55" s="34" t="s">
        <v>82</v>
      </c>
      <c r="G55" s="72" t="str">
        <f t="shared" si="1"/>
        <v>68</v>
      </c>
      <c r="H55" s="24" t="s">
        <v>827</v>
      </c>
      <c r="I55" s="25" t="s">
        <v>225</v>
      </c>
      <c r="J55" s="26" t="s">
        <v>366</v>
      </c>
      <c r="K55" s="65" t="s">
        <v>389</v>
      </c>
    </row>
    <row r="56" spans="1:11">
      <c r="A56" s="72" t="str">
        <f t="shared" si="0"/>
        <v>D4</v>
      </c>
      <c r="B56" s="27">
        <v>212</v>
      </c>
      <c r="C56" s="25" t="s">
        <v>215</v>
      </c>
      <c r="D56" s="26" t="s">
        <v>367</v>
      </c>
      <c r="E56" s="34" t="s">
        <v>82</v>
      </c>
      <c r="G56" s="72" t="str">
        <f t="shared" si="1"/>
        <v>6A</v>
      </c>
      <c r="H56" s="24" t="s">
        <v>828</v>
      </c>
      <c r="I56" s="25" t="s">
        <v>215</v>
      </c>
      <c r="J56" s="26" t="s">
        <v>367</v>
      </c>
      <c r="K56" s="65" t="s">
        <v>389</v>
      </c>
    </row>
    <row r="57" spans="1:11">
      <c r="A57" s="72" t="str">
        <f t="shared" si="0"/>
        <v>D8</v>
      </c>
      <c r="B57" s="27">
        <v>216</v>
      </c>
      <c r="C57" s="25" t="s">
        <v>214</v>
      </c>
      <c r="D57" s="26" t="s">
        <v>368</v>
      </c>
      <c r="E57" s="34" t="s">
        <v>82</v>
      </c>
      <c r="G57" s="72" t="str">
        <f t="shared" si="1"/>
        <v>6C</v>
      </c>
      <c r="H57" s="24" t="s">
        <v>829</v>
      </c>
      <c r="I57" s="25" t="s">
        <v>214</v>
      </c>
      <c r="J57" s="26" t="s">
        <v>368</v>
      </c>
      <c r="K57" s="65" t="s">
        <v>389</v>
      </c>
    </row>
    <row r="58" spans="1:11">
      <c r="A58" s="72" t="str">
        <f t="shared" si="0"/>
        <v>DC</v>
      </c>
      <c r="B58" s="27">
        <v>220</v>
      </c>
      <c r="C58" s="25" t="s">
        <v>220</v>
      </c>
      <c r="D58" s="26" t="s">
        <v>369</v>
      </c>
      <c r="E58" s="34" t="s">
        <v>82</v>
      </c>
      <c r="G58" s="72" t="str">
        <f t="shared" si="1"/>
        <v>6E</v>
      </c>
      <c r="H58" s="24" t="s">
        <v>830</v>
      </c>
      <c r="I58" s="25" t="s">
        <v>220</v>
      </c>
      <c r="J58" s="26" t="s">
        <v>369</v>
      </c>
      <c r="K58" s="65" t="s">
        <v>389</v>
      </c>
    </row>
    <row r="59" spans="1:11">
      <c r="A59" s="72" t="str">
        <f t="shared" si="0"/>
        <v>E0</v>
      </c>
      <c r="B59" s="27">
        <v>224</v>
      </c>
      <c r="C59" s="25" t="s">
        <v>218</v>
      </c>
      <c r="D59" s="26" t="s">
        <v>86</v>
      </c>
      <c r="E59" s="34" t="s">
        <v>82</v>
      </c>
      <c r="G59" s="72" t="str">
        <f t="shared" si="1"/>
        <v>70</v>
      </c>
      <c r="H59" s="24" t="s">
        <v>831</v>
      </c>
      <c r="I59" s="25" t="s">
        <v>218</v>
      </c>
      <c r="J59" s="26" t="s">
        <v>86</v>
      </c>
      <c r="K59" s="65" t="s">
        <v>389</v>
      </c>
    </row>
    <row r="60" spans="1:11">
      <c r="A60" s="72" t="str">
        <f t="shared" si="0"/>
        <v>E4</v>
      </c>
      <c r="B60" s="27">
        <v>228</v>
      </c>
      <c r="C60" s="25" t="s">
        <v>222</v>
      </c>
      <c r="D60" s="26" t="s">
        <v>200</v>
      </c>
      <c r="E60" s="34" t="s">
        <v>82</v>
      </c>
      <c r="G60" s="72" t="str">
        <f t="shared" si="1"/>
        <v>72</v>
      </c>
      <c r="H60" s="24" t="s">
        <v>832</v>
      </c>
      <c r="I60" s="25" t="s">
        <v>222</v>
      </c>
      <c r="J60" s="26" t="s">
        <v>200</v>
      </c>
      <c r="K60" s="65" t="s">
        <v>389</v>
      </c>
    </row>
    <row r="61" spans="1:11">
      <c r="A61" s="72" t="str">
        <f t="shared" si="0"/>
        <v>E8</v>
      </c>
      <c r="B61" s="27">
        <v>232</v>
      </c>
      <c r="C61" s="25" t="s">
        <v>219</v>
      </c>
      <c r="D61" s="26" t="s">
        <v>83</v>
      </c>
      <c r="E61" s="34" t="s">
        <v>82</v>
      </c>
      <c r="G61" s="72" t="str">
        <f t="shared" si="1"/>
        <v>74</v>
      </c>
      <c r="H61" s="24" t="s">
        <v>833</v>
      </c>
      <c r="I61" s="25" t="s">
        <v>219</v>
      </c>
      <c r="J61" s="26" t="s">
        <v>83</v>
      </c>
      <c r="K61" s="65" t="s">
        <v>389</v>
      </c>
    </row>
    <row r="62" spans="1:11">
      <c r="A62" s="72" t="str">
        <f t="shared" si="0"/>
        <v>EC</v>
      </c>
      <c r="B62" s="27">
        <v>236</v>
      </c>
      <c r="C62" s="25" t="s">
        <v>221</v>
      </c>
      <c r="D62" s="26" t="s">
        <v>194</v>
      </c>
      <c r="E62" s="34" t="s">
        <v>82</v>
      </c>
      <c r="G62" s="72" t="str">
        <f t="shared" si="1"/>
        <v>76</v>
      </c>
      <c r="H62" s="24" t="s">
        <v>834</v>
      </c>
      <c r="I62" s="25" t="s">
        <v>221</v>
      </c>
      <c r="J62" s="26" t="s">
        <v>194</v>
      </c>
      <c r="K62" s="65" t="s">
        <v>389</v>
      </c>
    </row>
    <row r="63" spans="1:11">
      <c r="A63" s="72" t="str">
        <f t="shared" si="0"/>
        <v>F0</v>
      </c>
      <c r="B63" s="27">
        <v>240</v>
      </c>
      <c r="C63" s="30" t="s">
        <v>341</v>
      </c>
      <c r="D63" s="26" t="s">
        <v>370</v>
      </c>
      <c r="E63" s="34" t="s">
        <v>82</v>
      </c>
      <c r="G63" s="72" t="str">
        <f t="shared" si="1"/>
        <v>78</v>
      </c>
      <c r="H63" s="24" t="s">
        <v>835</v>
      </c>
      <c r="I63" s="30" t="s">
        <v>341</v>
      </c>
      <c r="J63" s="26" t="s">
        <v>370</v>
      </c>
      <c r="K63" s="65" t="s">
        <v>389</v>
      </c>
    </row>
    <row r="64" spans="1:11">
      <c r="A64" s="72" t="str">
        <f t="shared" si="0"/>
        <v>F4</v>
      </c>
      <c r="B64" s="27">
        <v>244</v>
      </c>
      <c r="C64" s="30" t="s">
        <v>342</v>
      </c>
      <c r="D64" s="26" t="s">
        <v>371</v>
      </c>
      <c r="E64" s="34" t="s">
        <v>82</v>
      </c>
      <c r="G64" s="72" t="str">
        <f t="shared" si="1"/>
        <v>7A</v>
      </c>
      <c r="H64" s="24" t="s">
        <v>836</v>
      </c>
      <c r="I64" s="30" t="s">
        <v>342</v>
      </c>
      <c r="J64" s="26" t="s">
        <v>371</v>
      </c>
      <c r="K64" s="65" t="s">
        <v>389</v>
      </c>
    </row>
    <row r="65" spans="1:12">
      <c r="A65" s="72" t="str">
        <f t="shared" si="0"/>
        <v>F8</v>
      </c>
      <c r="B65" s="27">
        <v>248</v>
      </c>
      <c r="C65" s="31" t="s">
        <v>209</v>
      </c>
      <c r="D65" s="26" t="s">
        <v>372</v>
      </c>
      <c r="E65" s="34" t="s">
        <v>82</v>
      </c>
      <c r="F65" s="71"/>
      <c r="G65" s="72" t="str">
        <f t="shared" si="1"/>
        <v>7C</v>
      </c>
      <c r="H65" s="24" t="s">
        <v>837</v>
      </c>
      <c r="I65" s="31" t="s">
        <v>209</v>
      </c>
      <c r="J65" s="26" t="s">
        <v>372</v>
      </c>
      <c r="K65" s="65" t="s">
        <v>389</v>
      </c>
      <c r="L65" s="71"/>
    </row>
    <row r="66" spans="1:12">
      <c r="A66" s="66"/>
      <c r="B66" s="67"/>
      <c r="C66" s="68"/>
      <c r="D66" s="5"/>
      <c r="E66" s="239"/>
      <c r="G66" s="66"/>
      <c r="H66" s="67"/>
      <c r="I66" s="68"/>
      <c r="K66" s="5"/>
    </row>
    <row r="67" spans="1:12">
      <c r="A67" s="66"/>
      <c r="B67" s="67"/>
      <c r="C67" s="69"/>
      <c r="D67" s="5"/>
      <c r="E67" s="239"/>
      <c r="G67" s="66"/>
      <c r="H67" s="67"/>
      <c r="I67" s="69"/>
      <c r="K67" s="5"/>
    </row>
    <row r="68" spans="1:12">
      <c r="A68" s="66"/>
      <c r="B68" s="67"/>
      <c r="C68" s="70"/>
      <c r="D68" s="5"/>
      <c r="E68" s="239"/>
      <c r="G68" s="66"/>
      <c r="H68" s="67"/>
      <c r="I68" s="70"/>
      <c r="K68" s="5"/>
    </row>
    <row r="69" spans="1:12">
      <c r="A69" s="367" t="s">
        <v>710</v>
      </c>
      <c r="B69" s="368"/>
      <c r="C69" s="368"/>
      <c r="D69" s="368"/>
      <c r="E69" s="369"/>
      <c r="G69" s="367" t="s">
        <v>713</v>
      </c>
      <c r="H69" s="368"/>
      <c r="I69" s="368"/>
      <c r="J69" s="368"/>
      <c r="K69" s="369"/>
    </row>
    <row r="70" spans="1:12">
      <c r="A70" s="17" t="s">
        <v>74</v>
      </c>
      <c r="B70" s="18" t="s">
        <v>75</v>
      </c>
      <c r="C70" s="63" t="s">
        <v>76</v>
      </c>
      <c r="D70" s="20" t="s">
        <v>77</v>
      </c>
      <c r="E70" s="238" t="s">
        <v>78</v>
      </c>
      <c r="F70" s="21"/>
      <c r="G70" s="17" t="s">
        <v>74</v>
      </c>
      <c r="H70" s="18" t="s">
        <v>75</v>
      </c>
      <c r="I70" s="63" t="s">
        <v>76</v>
      </c>
      <c r="J70" s="20" t="s">
        <v>77</v>
      </c>
      <c r="K70" s="20" t="s">
        <v>78</v>
      </c>
    </row>
    <row r="71" spans="1:12">
      <c r="A71" s="72" t="str">
        <f>DEC2HEX(B71)</f>
        <v>0</v>
      </c>
      <c r="B71" s="24">
        <v>0</v>
      </c>
      <c r="C71" s="25" t="s">
        <v>195</v>
      </c>
      <c r="D71" s="26" t="s">
        <v>344</v>
      </c>
      <c r="E71" s="34" t="s">
        <v>82</v>
      </c>
      <c r="G71" s="72" t="str">
        <f>DEC2HEX(H71)</f>
        <v>0</v>
      </c>
      <c r="H71" s="24">
        <v>0</v>
      </c>
      <c r="I71" s="25" t="s">
        <v>195</v>
      </c>
      <c r="J71" s="26" t="s">
        <v>344</v>
      </c>
      <c r="K71" s="65" t="s">
        <v>389</v>
      </c>
    </row>
    <row r="72" spans="1:12">
      <c r="A72" s="72" t="str">
        <f t="shared" ref="A72:A133" si="3">DEC2HEX(B72)</f>
        <v>4</v>
      </c>
      <c r="B72" s="24">
        <f>B71+4</f>
        <v>4</v>
      </c>
      <c r="C72" s="30" t="s">
        <v>322</v>
      </c>
      <c r="D72" s="26" t="s">
        <v>345</v>
      </c>
      <c r="E72" s="34" t="s">
        <v>82</v>
      </c>
      <c r="G72" s="72" t="str">
        <f t="shared" ref="G72:G133" si="4">DEC2HEX(H72)</f>
        <v>2</v>
      </c>
      <c r="H72" s="24" t="s">
        <v>800</v>
      </c>
      <c r="I72" s="30" t="s">
        <v>322</v>
      </c>
      <c r="J72" s="26" t="s">
        <v>345</v>
      </c>
      <c r="K72" s="65" t="s">
        <v>389</v>
      </c>
    </row>
    <row r="73" spans="1:12">
      <c r="A73" s="72" t="str">
        <f t="shared" si="3"/>
        <v>8</v>
      </c>
      <c r="B73" s="24">
        <f>B72+4</f>
        <v>8</v>
      </c>
      <c r="C73" s="25" t="s">
        <v>323</v>
      </c>
      <c r="D73" s="26" t="s">
        <v>346</v>
      </c>
      <c r="E73" s="34" t="s">
        <v>82</v>
      </c>
      <c r="G73" s="72" t="str">
        <f t="shared" si="4"/>
        <v>4</v>
      </c>
      <c r="H73" s="24" t="s">
        <v>801</v>
      </c>
      <c r="I73" s="25" t="s">
        <v>323</v>
      </c>
      <c r="J73" s="26" t="s">
        <v>346</v>
      </c>
      <c r="K73" s="65" t="s">
        <v>389</v>
      </c>
    </row>
    <row r="74" spans="1:12">
      <c r="A74" s="72" t="str">
        <f t="shared" si="3"/>
        <v>C</v>
      </c>
      <c r="B74" s="24">
        <f t="shared" ref="B74" si="5">B73+4</f>
        <v>12</v>
      </c>
      <c r="C74" s="64" t="s">
        <v>101</v>
      </c>
      <c r="D74" s="26" t="s">
        <v>347</v>
      </c>
      <c r="E74" s="34" t="s">
        <v>82</v>
      </c>
      <c r="G74" s="72" t="str">
        <f t="shared" si="4"/>
        <v>6</v>
      </c>
      <c r="H74" s="24" t="s">
        <v>817</v>
      </c>
      <c r="I74" s="64" t="s">
        <v>101</v>
      </c>
      <c r="J74" s="26" t="s">
        <v>347</v>
      </c>
      <c r="K74" s="65" t="s">
        <v>389</v>
      </c>
    </row>
    <row r="75" spans="1:12">
      <c r="A75" s="72" t="str">
        <f t="shared" si="3"/>
        <v>10</v>
      </c>
      <c r="B75" s="27">
        <v>16</v>
      </c>
      <c r="C75" s="22" t="s">
        <v>149</v>
      </c>
      <c r="D75" s="26" t="s">
        <v>148</v>
      </c>
      <c r="E75" s="34" t="s">
        <v>82</v>
      </c>
      <c r="G75" s="72" t="str">
        <f t="shared" si="4"/>
        <v>8</v>
      </c>
      <c r="H75" s="24" t="s">
        <v>252</v>
      </c>
      <c r="I75" s="22" t="s">
        <v>149</v>
      </c>
      <c r="J75" s="26" t="s">
        <v>148</v>
      </c>
      <c r="K75" s="65" t="s">
        <v>389</v>
      </c>
    </row>
    <row r="76" spans="1:12">
      <c r="A76" s="72" t="str">
        <f t="shared" si="3"/>
        <v>14</v>
      </c>
      <c r="B76" s="27">
        <v>20</v>
      </c>
      <c r="C76" s="30" t="s">
        <v>343</v>
      </c>
      <c r="D76" s="26" t="s">
        <v>199</v>
      </c>
      <c r="E76" s="34" t="s">
        <v>82</v>
      </c>
      <c r="G76" s="72" t="str">
        <f t="shared" si="4"/>
        <v>A</v>
      </c>
      <c r="H76" s="24" t="s">
        <v>89</v>
      </c>
      <c r="I76" s="30" t="s">
        <v>343</v>
      </c>
      <c r="J76" s="26" t="s">
        <v>199</v>
      </c>
      <c r="K76" s="65" t="s">
        <v>389</v>
      </c>
    </row>
    <row r="77" spans="1:12">
      <c r="A77" s="72" t="str">
        <f t="shared" si="3"/>
        <v>18</v>
      </c>
      <c r="B77" s="27">
        <v>24</v>
      </c>
      <c r="C77" s="30" t="s">
        <v>201</v>
      </c>
      <c r="D77" s="26" t="s">
        <v>152</v>
      </c>
      <c r="E77" s="34" t="s">
        <v>82</v>
      </c>
      <c r="G77" s="72" t="str">
        <f t="shared" si="4"/>
        <v>C</v>
      </c>
      <c r="H77" s="24" t="s">
        <v>253</v>
      </c>
      <c r="I77" s="30" t="s">
        <v>201</v>
      </c>
      <c r="J77" s="26" t="s">
        <v>152</v>
      </c>
      <c r="K77" s="65" t="s">
        <v>389</v>
      </c>
    </row>
    <row r="78" spans="1:12">
      <c r="A78" s="72" t="str">
        <f t="shared" si="3"/>
        <v>1C</v>
      </c>
      <c r="B78" s="27">
        <v>28</v>
      </c>
      <c r="C78" s="64" t="s">
        <v>324</v>
      </c>
      <c r="D78" s="26" t="s">
        <v>348</v>
      </c>
      <c r="E78" s="34" t="s">
        <v>82</v>
      </c>
      <c r="G78" s="72" t="str">
        <f t="shared" si="4"/>
        <v>E</v>
      </c>
      <c r="H78" s="24" t="s">
        <v>92</v>
      </c>
      <c r="I78" s="64" t="s">
        <v>324</v>
      </c>
      <c r="J78" s="26" t="s">
        <v>348</v>
      </c>
      <c r="K78" s="65" t="s">
        <v>389</v>
      </c>
    </row>
    <row r="79" spans="1:12">
      <c r="A79" s="72" t="str">
        <f t="shared" si="3"/>
        <v>20</v>
      </c>
      <c r="B79" s="27">
        <v>32</v>
      </c>
      <c r="C79" s="30" t="s">
        <v>325</v>
      </c>
      <c r="D79" s="26" t="s">
        <v>349</v>
      </c>
      <c r="E79" s="34" t="s">
        <v>82</v>
      </c>
      <c r="G79" s="72" t="str">
        <f t="shared" si="4"/>
        <v>10</v>
      </c>
      <c r="H79" s="24" t="s">
        <v>254</v>
      </c>
      <c r="I79" s="30" t="s">
        <v>325</v>
      </c>
      <c r="J79" s="26" t="s">
        <v>349</v>
      </c>
      <c r="K79" s="65" t="s">
        <v>389</v>
      </c>
    </row>
    <row r="80" spans="1:12">
      <c r="A80" s="72" t="str">
        <f t="shared" si="3"/>
        <v>24</v>
      </c>
      <c r="B80" s="27">
        <v>36</v>
      </c>
      <c r="C80" s="30" t="s">
        <v>326</v>
      </c>
      <c r="D80" s="26" t="s">
        <v>196</v>
      </c>
      <c r="E80" s="34" t="s">
        <v>82</v>
      </c>
      <c r="G80" s="72" t="str">
        <f t="shared" si="4"/>
        <v>12</v>
      </c>
      <c r="H80" s="24" t="s">
        <v>95</v>
      </c>
      <c r="I80" s="30" t="s">
        <v>326</v>
      </c>
      <c r="J80" s="26" t="s">
        <v>196</v>
      </c>
      <c r="K80" s="65" t="s">
        <v>389</v>
      </c>
    </row>
    <row r="81" spans="1:11">
      <c r="A81" s="72" t="str">
        <f t="shared" si="3"/>
        <v>28</v>
      </c>
      <c r="B81" s="27">
        <v>40</v>
      </c>
      <c r="C81" s="25" t="s">
        <v>327</v>
      </c>
      <c r="D81" s="26" t="s">
        <v>350</v>
      </c>
      <c r="E81" s="34" t="s">
        <v>82</v>
      </c>
      <c r="G81" s="72" t="str">
        <f t="shared" si="4"/>
        <v>14</v>
      </c>
      <c r="H81" s="24" t="s">
        <v>98</v>
      </c>
      <c r="I81" s="25" t="s">
        <v>327</v>
      </c>
      <c r="J81" s="26" t="s">
        <v>350</v>
      </c>
      <c r="K81" s="65" t="s">
        <v>389</v>
      </c>
    </row>
    <row r="82" spans="1:11">
      <c r="A82" s="72" t="str">
        <f t="shared" si="3"/>
        <v>2C</v>
      </c>
      <c r="B82" s="27">
        <v>44</v>
      </c>
      <c r="C82" s="25" t="s">
        <v>135</v>
      </c>
      <c r="D82" s="26" t="s">
        <v>134</v>
      </c>
      <c r="E82" s="34" t="s">
        <v>82</v>
      </c>
      <c r="G82" s="72" t="str">
        <f t="shared" si="4"/>
        <v>16</v>
      </c>
      <c r="H82" s="24" t="s">
        <v>802</v>
      </c>
      <c r="I82" s="25" t="s">
        <v>135</v>
      </c>
      <c r="J82" s="26" t="s">
        <v>134</v>
      </c>
      <c r="K82" s="65" t="s">
        <v>389</v>
      </c>
    </row>
    <row r="83" spans="1:11">
      <c r="A83" s="72" t="str">
        <f t="shared" si="3"/>
        <v>30</v>
      </c>
      <c r="B83" s="27">
        <v>48</v>
      </c>
      <c r="C83" s="25" t="s">
        <v>328</v>
      </c>
      <c r="D83" s="26" t="s">
        <v>155</v>
      </c>
      <c r="E83" s="34" t="s">
        <v>82</v>
      </c>
      <c r="G83" s="72" t="str">
        <f t="shared" si="4"/>
        <v>18</v>
      </c>
      <c r="H83" s="24" t="s">
        <v>102</v>
      </c>
      <c r="I83" s="25" t="s">
        <v>328</v>
      </c>
      <c r="J83" s="26" t="s">
        <v>155</v>
      </c>
      <c r="K83" s="65" t="s">
        <v>389</v>
      </c>
    </row>
    <row r="84" spans="1:11">
      <c r="A84" s="72" t="str">
        <f t="shared" si="3"/>
        <v>34</v>
      </c>
      <c r="B84" s="27">
        <v>52</v>
      </c>
      <c r="C84" s="64" t="s">
        <v>156</v>
      </c>
      <c r="D84" s="26" t="s">
        <v>184</v>
      </c>
      <c r="E84" s="34" t="s">
        <v>82</v>
      </c>
      <c r="G84" s="72" t="str">
        <f t="shared" si="4"/>
        <v>1A</v>
      </c>
      <c r="H84" s="24" t="s">
        <v>803</v>
      </c>
      <c r="I84" s="64" t="s">
        <v>156</v>
      </c>
      <c r="J84" s="26" t="s">
        <v>184</v>
      </c>
      <c r="K84" s="65" t="s">
        <v>389</v>
      </c>
    </row>
    <row r="85" spans="1:11">
      <c r="A85" s="72" t="str">
        <f t="shared" si="3"/>
        <v>38</v>
      </c>
      <c r="B85" s="27">
        <v>56</v>
      </c>
      <c r="C85" s="25" t="s">
        <v>329</v>
      </c>
      <c r="D85" s="26" t="s">
        <v>351</v>
      </c>
      <c r="E85" s="34" t="s">
        <v>82</v>
      </c>
      <c r="G85" s="72" t="str">
        <f t="shared" si="4"/>
        <v>1C</v>
      </c>
      <c r="H85" s="24" t="s">
        <v>103</v>
      </c>
      <c r="I85" s="25" t="s">
        <v>329</v>
      </c>
      <c r="J85" s="26" t="s">
        <v>351</v>
      </c>
      <c r="K85" s="65" t="s">
        <v>389</v>
      </c>
    </row>
    <row r="86" spans="1:11">
      <c r="A86" s="72" t="str">
        <f t="shared" si="3"/>
        <v>3C</v>
      </c>
      <c r="B86" s="27">
        <v>60</v>
      </c>
      <c r="C86" s="25" t="s">
        <v>330</v>
      </c>
      <c r="D86" s="26" t="s">
        <v>198</v>
      </c>
      <c r="E86" s="34" t="s">
        <v>82</v>
      </c>
      <c r="G86" s="72" t="str">
        <f t="shared" si="4"/>
        <v>1E</v>
      </c>
      <c r="H86" s="24" t="s">
        <v>112</v>
      </c>
      <c r="I86" s="25" t="s">
        <v>330</v>
      </c>
      <c r="J86" s="26" t="s">
        <v>198</v>
      </c>
      <c r="K86" s="65" t="s">
        <v>389</v>
      </c>
    </row>
    <row r="87" spans="1:11">
      <c r="A87" s="72" t="str">
        <f t="shared" si="3"/>
        <v>40</v>
      </c>
      <c r="B87" s="27">
        <v>64</v>
      </c>
      <c r="C87" s="64" t="s">
        <v>331</v>
      </c>
      <c r="D87" s="26" t="s">
        <v>128</v>
      </c>
      <c r="E87" s="34" t="s">
        <v>82</v>
      </c>
      <c r="G87" s="72" t="str">
        <f t="shared" si="4"/>
        <v>20</v>
      </c>
      <c r="H87" s="24" t="s">
        <v>804</v>
      </c>
      <c r="I87" s="64" t="s">
        <v>331</v>
      </c>
      <c r="J87" s="26" t="s">
        <v>128</v>
      </c>
      <c r="K87" s="65" t="s">
        <v>389</v>
      </c>
    </row>
    <row r="88" spans="1:11">
      <c r="A88" s="72" t="str">
        <f t="shared" si="3"/>
        <v>44</v>
      </c>
      <c r="B88" s="27">
        <v>68</v>
      </c>
      <c r="C88" s="64" t="s">
        <v>332</v>
      </c>
      <c r="D88" s="26" t="s">
        <v>197</v>
      </c>
      <c r="E88" s="34" t="s">
        <v>82</v>
      </c>
      <c r="G88" s="72" t="str">
        <f t="shared" si="4"/>
        <v>22</v>
      </c>
      <c r="H88" s="24" t="s">
        <v>114</v>
      </c>
      <c r="I88" s="64" t="s">
        <v>332</v>
      </c>
      <c r="J88" s="26" t="s">
        <v>197</v>
      </c>
      <c r="K88" s="65" t="s">
        <v>389</v>
      </c>
    </row>
    <row r="89" spans="1:11">
      <c r="A89" s="72" t="str">
        <f t="shared" si="3"/>
        <v>48</v>
      </c>
      <c r="B89" s="27">
        <v>72</v>
      </c>
      <c r="C89" s="345" t="s">
        <v>206</v>
      </c>
      <c r="D89" s="26" t="s">
        <v>352</v>
      </c>
      <c r="E89" s="34" t="s">
        <v>82</v>
      </c>
      <c r="G89" s="72" t="str">
        <f t="shared" si="4"/>
        <v>24</v>
      </c>
      <c r="H89" s="24" t="s">
        <v>805</v>
      </c>
      <c r="I89" s="345" t="s">
        <v>206</v>
      </c>
      <c r="J89" s="26" t="s">
        <v>352</v>
      </c>
      <c r="K89" s="65" t="s">
        <v>389</v>
      </c>
    </row>
    <row r="90" spans="1:11">
      <c r="A90" s="72" t="str">
        <f t="shared" si="3"/>
        <v>4C</v>
      </c>
      <c r="B90" s="27">
        <v>76</v>
      </c>
      <c r="C90" s="345" t="s">
        <v>339</v>
      </c>
      <c r="D90" s="26" t="s">
        <v>353</v>
      </c>
      <c r="E90" s="34" t="s">
        <v>82</v>
      </c>
      <c r="G90" s="72" t="str">
        <f t="shared" si="4"/>
        <v>26</v>
      </c>
      <c r="H90" s="24" t="s">
        <v>118</v>
      </c>
      <c r="I90" s="345" t="s">
        <v>339</v>
      </c>
      <c r="J90" s="26" t="s">
        <v>353</v>
      </c>
      <c r="K90" s="65" t="s">
        <v>389</v>
      </c>
    </row>
    <row r="91" spans="1:11">
      <c r="A91" s="72" t="str">
        <f t="shared" si="3"/>
        <v>50</v>
      </c>
      <c r="B91" s="27">
        <v>80</v>
      </c>
      <c r="C91" s="345" t="s">
        <v>340</v>
      </c>
      <c r="D91" s="26" t="s">
        <v>208</v>
      </c>
      <c r="E91" s="34" t="s">
        <v>82</v>
      </c>
      <c r="G91" s="72" t="str">
        <f t="shared" si="4"/>
        <v>28</v>
      </c>
      <c r="H91" s="24" t="s">
        <v>125</v>
      </c>
      <c r="I91" s="345" t="s">
        <v>340</v>
      </c>
      <c r="J91" s="26" t="s">
        <v>208</v>
      </c>
      <c r="K91" s="65" t="s">
        <v>389</v>
      </c>
    </row>
    <row r="92" spans="1:11">
      <c r="A92" s="72" t="str">
        <f t="shared" si="3"/>
        <v>54</v>
      </c>
      <c r="B92" s="27">
        <v>84</v>
      </c>
      <c r="C92" s="31" t="s">
        <v>333</v>
      </c>
      <c r="D92" s="26" t="s">
        <v>354</v>
      </c>
      <c r="E92" s="34" t="s">
        <v>82</v>
      </c>
      <c r="G92" s="72" t="str">
        <f t="shared" si="4"/>
        <v>2A</v>
      </c>
      <c r="H92" s="24" t="s">
        <v>806</v>
      </c>
      <c r="I92" s="31" t="s">
        <v>333</v>
      </c>
      <c r="J92" s="26" t="s">
        <v>354</v>
      </c>
      <c r="K92" s="65" t="s">
        <v>389</v>
      </c>
    </row>
    <row r="93" spans="1:11">
      <c r="A93" s="72" t="str">
        <f t="shared" si="3"/>
        <v>58</v>
      </c>
      <c r="B93" s="27">
        <v>88</v>
      </c>
      <c r="C93" s="64" t="s">
        <v>334</v>
      </c>
      <c r="D93" s="26" t="s">
        <v>355</v>
      </c>
      <c r="E93" s="34" t="s">
        <v>82</v>
      </c>
      <c r="G93" s="72" t="str">
        <f t="shared" si="4"/>
        <v>2C</v>
      </c>
      <c r="H93" s="24" t="s">
        <v>129</v>
      </c>
      <c r="I93" s="64" t="s">
        <v>334</v>
      </c>
      <c r="J93" s="26" t="s">
        <v>355</v>
      </c>
      <c r="K93" s="65" t="s">
        <v>389</v>
      </c>
    </row>
    <row r="94" spans="1:11">
      <c r="A94" s="72" t="str">
        <f t="shared" si="3"/>
        <v>5C</v>
      </c>
      <c r="B94" s="27">
        <v>92</v>
      </c>
      <c r="C94" s="25" t="s">
        <v>335</v>
      </c>
      <c r="D94" s="26" t="s">
        <v>356</v>
      </c>
      <c r="E94" s="34" t="s">
        <v>82</v>
      </c>
      <c r="G94" s="72" t="str">
        <f t="shared" si="4"/>
        <v>2E</v>
      </c>
      <c r="H94" s="24" t="s">
        <v>807</v>
      </c>
      <c r="I94" s="25" t="s">
        <v>335</v>
      </c>
      <c r="J94" s="26" t="s">
        <v>356</v>
      </c>
      <c r="K94" s="65" t="s">
        <v>389</v>
      </c>
    </row>
    <row r="95" spans="1:11">
      <c r="A95" s="72" t="str">
        <f t="shared" si="3"/>
        <v>60</v>
      </c>
      <c r="B95" s="27">
        <v>96</v>
      </c>
      <c r="C95" s="25" t="s">
        <v>336</v>
      </c>
      <c r="D95" s="26" t="s">
        <v>357</v>
      </c>
      <c r="E95" s="34" t="s">
        <v>82</v>
      </c>
      <c r="G95" s="72" t="str">
        <f t="shared" si="4"/>
        <v>30</v>
      </c>
      <c r="H95" s="24" t="s">
        <v>131</v>
      </c>
      <c r="I95" s="25" t="s">
        <v>336</v>
      </c>
      <c r="J95" s="26" t="s">
        <v>357</v>
      </c>
      <c r="K95" s="65" t="s">
        <v>389</v>
      </c>
    </row>
    <row r="96" spans="1:11">
      <c r="A96" s="72" t="str">
        <f t="shared" si="3"/>
        <v>64</v>
      </c>
      <c r="B96" s="27">
        <v>100</v>
      </c>
      <c r="C96" s="25" t="s">
        <v>337</v>
      </c>
      <c r="D96" s="26" t="s">
        <v>207</v>
      </c>
      <c r="E96" s="34" t="s">
        <v>82</v>
      </c>
      <c r="G96" s="72" t="str">
        <f t="shared" si="4"/>
        <v>32</v>
      </c>
      <c r="H96" s="24" t="s">
        <v>140</v>
      </c>
      <c r="I96" s="25" t="s">
        <v>337</v>
      </c>
      <c r="J96" s="26" t="s">
        <v>207</v>
      </c>
      <c r="K96" s="65" t="s">
        <v>389</v>
      </c>
    </row>
    <row r="97" spans="1:11">
      <c r="A97" s="72" t="str">
        <f t="shared" si="3"/>
        <v>68</v>
      </c>
      <c r="B97" s="27">
        <v>104</v>
      </c>
      <c r="C97" s="25" t="s">
        <v>204</v>
      </c>
      <c r="D97" s="26" t="s">
        <v>203</v>
      </c>
      <c r="E97" s="34" t="s">
        <v>82</v>
      </c>
      <c r="G97" s="72" t="str">
        <f t="shared" si="4"/>
        <v>34</v>
      </c>
      <c r="H97" s="24" t="s">
        <v>808</v>
      </c>
      <c r="I97" s="25" t="s">
        <v>204</v>
      </c>
      <c r="J97" s="26" t="s">
        <v>203</v>
      </c>
      <c r="K97" s="65" t="s">
        <v>389</v>
      </c>
    </row>
    <row r="98" spans="1:11">
      <c r="A98" s="72" t="str">
        <f t="shared" si="3"/>
        <v>6C</v>
      </c>
      <c r="B98" s="27">
        <v>108</v>
      </c>
      <c r="C98" s="25" t="s">
        <v>338</v>
      </c>
      <c r="D98" s="26" t="s">
        <v>358</v>
      </c>
      <c r="E98" s="34" t="s">
        <v>82</v>
      </c>
      <c r="G98" s="72" t="str">
        <f t="shared" si="4"/>
        <v>36</v>
      </c>
      <c r="H98" s="24" t="s">
        <v>145</v>
      </c>
      <c r="I98" s="25" t="s">
        <v>338</v>
      </c>
      <c r="J98" s="26" t="s">
        <v>358</v>
      </c>
      <c r="K98" s="65" t="s">
        <v>389</v>
      </c>
    </row>
    <row r="99" spans="1:11">
      <c r="A99" s="72" t="str">
        <f t="shared" si="3"/>
        <v>70</v>
      </c>
      <c r="B99" s="27">
        <v>112</v>
      </c>
      <c r="C99" s="25" t="s">
        <v>122</v>
      </c>
      <c r="D99" s="26" t="s">
        <v>121</v>
      </c>
      <c r="E99" s="34" t="s">
        <v>82</v>
      </c>
      <c r="G99" s="72" t="str">
        <f t="shared" si="4"/>
        <v>38</v>
      </c>
      <c r="H99" s="24" t="s">
        <v>809</v>
      </c>
      <c r="I99" s="25" t="s">
        <v>122</v>
      </c>
      <c r="J99" s="26" t="s">
        <v>121</v>
      </c>
      <c r="K99" s="65" t="s">
        <v>389</v>
      </c>
    </row>
    <row r="100" spans="1:11">
      <c r="A100" s="72" t="str">
        <f t="shared" si="3"/>
        <v>74</v>
      </c>
      <c r="B100" s="27">
        <v>116</v>
      </c>
      <c r="C100" s="345" t="s">
        <v>217</v>
      </c>
      <c r="D100" s="26" t="s">
        <v>202</v>
      </c>
      <c r="E100" s="34" t="s">
        <v>82</v>
      </c>
      <c r="G100" s="72" t="str">
        <f t="shared" si="4"/>
        <v>3A</v>
      </c>
      <c r="H100" s="24" t="s">
        <v>150</v>
      </c>
      <c r="I100" s="345" t="s">
        <v>217</v>
      </c>
      <c r="J100" s="26" t="s">
        <v>202</v>
      </c>
      <c r="K100" s="65" t="s">
        <v>389</v>
      </c>
    </row>
    <row r="101" spans="1:11">
      <c r="A101" s="72" t="str">
        <f t="shared" si="3"/>
        <v>78</v>
      </c>
      <c r="B101" s="27">
        <v>120</v>
      </c>
      <c r="C101" s="345" t="s">
        <v>223</v>
      </c>
      <c r="D101" s="26" t="s">
        <v>359</v>
      </c>
      <c r="E101" s="34" t="s">
        <v>82</v>
      </c>
      <c r="G101" s="72" t="str">
        <f t="shared" si="4"/>
        <v>3C</v>
      </c>
      <c r="H101" s="24" t="s">
        <v>157</v>
      </c>
      <c r="I101" s="345" t="s">
        <v>223</v>
      </c>
      <c r="J101" s="26" t="s">
        <v>359</v>
      </c>
      <c r="K101" s="65" t="s">
        <v>389</v>
      </c>
    </row>
    <row r="102" spans="1:11">
      <c r="A102" s="72" t="str">
        <f t="shared" si="3"/>
        <v>7C</v>
      </c>
      <c r="B102" s="27">
        <v>124</v>
      </c>
      <c r="C102" s="345" t="s">
        <v>226</v>
      </c>
      <c r="D102" s="26" t="s">
        <v>360</v>
      </c>
      <c r="E102" s="34" t="s">
        <v>82</v>
      </c>
      <c r="G102" s="72" t="str">
        <f t="shared" si="4"/>
        <v>3E</v>
      </c>
      <c r="H102" s="24" t="s">
        <v>810</v>
      </c>
      <c r="I102" s="345" t="s">
        <v>226</v>
      </c>
      <c r="J102" s="26" t="s">
        <v>360</v>
      </c>
      <c r="K102" s="65" t="s">
        <v>389</v>
      </c>
    </row>
    <row r="103" spans="1:11">
      <c r="A103" s="72" t="str">
        <f t="shared" si="3"/>
        <v>80</v>
      </c>
      <c r="B103" s="27">
        <v>128</v>
      </c>
      <c r="C103" s="25" t="s">
        <v>175</v>
      </c>
      <c r="D103" s="26" t="s">
        <v>174</v>
      </c>
      <c r="E103" s="34" t="s">
        <v>82</v>
      </c>
      <c r="G103" s="72" t="str">
        <f t="shared" si="4"/>
        <v>40</v>
      </c>
      <c r="H103" s="24" t="s">
        <v>162</v>
      </c>
      <c r="I103" s="25" t="s">
        <v>175</v>
      </c>
      <c r="J103" s="26" t="s">
        <v>174</v>
      </c>
      <c r="K103" s="65" t="s">
        <v>389</v>
      </c>
    </row>
    <row r="104" spans="1:11">
      <c r="A104" s="72" t="str">
        <f t="shared" si="3"/>
        <v>84</v>
      </c>
      <c r="B104" s="27">
        <v>132</v>
      </c>
      <c r="C104" s="31" t="s">
        <v>180</v>
      </c>
      <c r="D104" s="26" t="s">
        <v>179</v>
      </c>
      <c r="E104" s="34" t="s">
        <v>82</v>
      </c>
      <c r="G104" s="72" t="str">
        <f t="shared" si="4"/>
        <v>42</v>
      </c>
      <c r="H104" s="24" t="s">
        <v>811</v>
      </c>
      <c r="I104" s="31" t="s">
        <v>180</v>
      </c>
      <c r="J104" s="26" t="s">
        <v>179</v>
      </c>
      <c r="K104" s="65" t="s">
        <v>389</v>
      </c>
    </row>
    <row r="105" spans="1:11">
      <c r="A105" s="72" t="str">
        <f t="shared" si="3"/>
        <v>88</v>
      </c>
      <c r="B105" s="27">
        <v>136</v>
      </c>
      <c r="C105" s="25" t="s">
        <v>211</v>
      </c>
      <c r="D105" s="26" t="s">
        <v>210</v>
      </c>
      <c r="E105" s="34" t="s">
        <v>82</v>
      </c>
      <c r="G105" s="72" t="str">
        <f t="shared" si="4"/>
        <v>44</v>
      </c>
      <c r="H105" s="24" t="s">
        <v>167</v>
      </c>
      <c r="I105" s="25" t="s">
        <v>211</v>
      </c>
      <c r="J105" s="26" t="s">
        <v>210</v>
      </c>
      <c r="K105" s="65" t="s">
        <v>389</v>
      </c>
    </row>
    <row r="106" spans="1:11">
      <c r="A106" s="72" t="str">
        <f t="shared" si="3"/>
        <v>8C</v>
      </c>
      <c r="B106" s="27">
        <v>140</v>
      </c>
      <c r="C106" s="31" t="s">
        <v>213</v>
      </c>
      <c r="D106" s="26" t="s">
        <v>212</v>
      </c>
      <c r="E106" s="34" t="s">
        <v>82</v>
      </c>
      <c r="G106" s="72" t="str">
        <f t="shared" si="4"/>
        <v>46</v>
      </c>
      <c r="H106" s="24" t="s">
        <v>176</v>
      </c>
      <c r="I106" s="31" t="s">
        <v>213</v>
      </c>
      <c r="J106" s="26" t="s">
        <v>212</v>
      </c>
      <c r="K106" s="65" t="s">
        <v>389</v>
      </c>
    </row>
    <row r="107" spans="1:11">
      <c r="A107" s="72" t="str">
        <f t="shared" si="3"/>
        <v>90</v>
      </c>
      <c r="B107" s="27">
        <v>144</v>
      </c>
      <c r="C107" s="31" t="s">
        <v>388</v>
      </c>
      <c r="D107" s="26" t="s">
        <v>361</v>
      </c>
      <c r="E107" s="34" t="s">
        <v>82</v>
      </c>
      <c r="G107" s="72" t="str">
        <f t="shared" si="4"/>
        <v>48</v>
      </c>
      <c r="H107" s="24" t="s">
        <v>812</v>
      </c>
      <c r="I107" s="31" t="s">
        <v>229</v>
      </c>
      <c r="J107" s="26" t="s">
        <v>361</v>
      </c>
      <c r="K107" s="65" t="s">
        <v>389</v>
      </c>
    </row>
    <row r="108" spans="1:11">
      <c r="A108" s="72" t="str">
        <f t="shared" si="3"/>
        <v>94</v>
      </c>
      <c r="B108" s="27">
        <v>148</v>
      </c>
      <c r="C108" s="31" t="s">
        <v>230</v>
      </c>
      <c r="D108" s="26" t="s">
        <v>117</v>
      </c>
      <c r="E108" s="34" t="s">
        <v>82</v>
      </c>
      <c r="G108" s="72" t="str">
        <f t="shared" si="4"/>
        <v>4A</v>
      </c>
      <c r="H108" s="24" t="s">
        <v>181</v>
      </c>
      <c r="I108" s="31" t="s">
        <v>230</v>
      </c>
      <c r="J108" s="26" t="s">
        <v>117</v>
      </c>
      <c r="K108" s="65" t="s">
        <v>389</v>
      </c>
    </row>
    <row r="109" spans="1:11">
      <c r="A109" s="72" t="str">
        <f t="shared" si="3"/>
        <v>98</v>
      </c>
      <c r="B109" s="27">
        <v>152</v>
      </c>
      <c r="C109" s="31" t="s">
        <v>227</v>
      </c>
      <c r="D109" s="26" t="s">
        <v>362</v>
      </c>
      <c r="E109" s="34" t="s">
        <v>82</v>
      </c>
      <c r="G109" s="72" t="str">
        <f t="shared" si="4"/>
        <v>4C</v>
      </c>
      <c r="H109" s="24" t="s">
        <v>813</v>
      </c>
      <c r="I109" s="31" t="s">
        <v>227</v>
      </c>
      <c r="J109" s="26" t="s">
        <v>362</v>
      </c>
      <c r="K109" s="65" t="s">
        <v>389</v>
      </c>
    </row>
    <row r="110" spans="1:11">
      <c r="A110" s="72" t="str">
        <f t="shared" si="3"/>
        <v>9C</v>
      </c>
      <c r="B110" s="27">
        <v>156</v>
      </c>
      <c r="C110" s="25" t="s">
        <v>228</v>
      </c>
      <c r="D110" s="26" t="s">
        <v>205</v>
      </c>
      <c r="E110" s="34" t="s">
        <v>82</v>
      </c>
      <c r="G110" s="72" t="str">
        <f t="shared" si="4"/>
        <v>4E</v>
      </c>
      <c r="H110" s="24" t="s">
        <v>185</v>
      </c>
      <c r="I110" s="25" t="s">
        <v>228</v>
      </c>
      <c r="J110" s="26" t="s">
        <v>205</v>
      </c>
      <c r="K110" s="65" t="s">
        <v>389</v>
      </c>
    </row>
    <row r="111" spans="1:11">
      <c r="A111" s="72" t="str">
        <f t="shared" si="3"/>
        <v>A0</v>
      </c>
      <c r="B111" s="27">
        <v>160</v>
      </c>
      <c r="C111" s="25" t="s">
        <v>166</v>
      </c>
      <c r="D111" s="26" t="s">
        <v>165</v>
      </c>
      <c r="E111" s="34" t="s">
        <v>82</v>
      </c>
      <c r="G111" s="72" t="str">
        <f t="shared" si="4"/>
        <v>50</v>
      </c>
      <c r="H111" s="24" t="s">
        <v>814</v>
      </c>
      <c r="I111" s="25" t="s">
        <v>166</v>
      </c>
      <c r="J111" s="26" t="s">
        <v>165</v>
      </c>
      <c r="K111" s="65" t="s">
        <v>389</v>
      </c>
    </row>
    <row r="112" spans="1:11">
      <c r="A112" s="72" t="str">
        <f t="shared" si="3"/>
        <v>A4</v>
      </c>
      <c r="B112" s="27">
        <v>164</v>
      </c>
      <c r="C112" s="25" t="s">
        <v>139</v>
      </c>
      <c r="D112" s="26" t="s">
        <v>138</v>
      </c>
      <c r="E112" s="34" t="s">
        <v>82</v>
      </c>
      <c r="G112" s="72" t="str">
        <f t="shared" si="4"/>
        <v>52</v>
      </c>
      <c r="H112" s="24" t="s">
        <v>815</v>
      </c>
      <c r="I112" s="25" t="s">
        <v>139</v>
      </c>
      <c r="J112" s="26" t="s">
        <v>138</v>
      </c>
      <c r="K112" s="65" t="s">
        <v>389</v>
      </c>
    </row>
    <row r="113" spans="1:11">
      <c r="A113" s="72" t="str">
        <f t="shared" si="3"/>
        <v>A8</v>
      </c>
      <c r="B113" s="27">
        <v>168</v>
      </c>
      <c r="C113" s="30" t="s">
        <v>171</v>
      </c>
      <c r="D113" s="26" t="s">
        <v>170</v>
      </c>
      <c r="E113" s="34" t="s">
        <v>82</v>
      </c>
      <c r="G113" s="72" t="str">
        <f t="shared" si="4"/>
        <v>54</v>
      </c>
      <c r="H113" s="24" t="s">
        <v>816</v>
      </c>
      <c r="I113" s="30" t="s">
        <v>171</v>
      </c>
      <c r="J113" s="26" t="s">
        <v>170</v>
      </c>
      <c r="K113" s="65" t="s">
        <v>389</v>
      </c>
    </row>
    <row r="114" spans="1:11">
      <c r="A114" s="72" t="str">
        <f t="shared" si="3"/>
        <v>AC</v>
      </c>
      <c r="B114" s="27">
        <v>172</v>
      </c>
      <c r="C114" s="25" t="s">
        <v>111</v>
      </c>
      <c r="D114" s="26" t="s">
        <v>363</v>
      </c>
      <c r="E114" s="34" t="s">
        <v>82</v>
      </c>
      <c r="G114" s="72" t="str">
        <f t="shared" si="4"/>
        <v>56</v>
      </c>
      <c r="H114" s="24" t="s">
        <v>818</v>
      </c>
      <c r="I114" s="25" t="s">
        <v>111</v>
      </c>
      <c r="J114" s="26" t="s">
        <v>363</v>
      </c>
      <c r="K114" s="65" t="s">
        <v>389</v>
      </c>
    </row>
    <row r="115" spans="1:11">
      <c r="A115" s="72" t="str">
        <f t="shared" si="3"/>
        <v>B0</v>
      </c>
      <c r="B115" s="27">
        <v>176</v>
      </c>
      <c r="C115" s="25" t="s">
        <v>161</v>
      </c>
      <c r="D115" s="26" t="s">
        <v>160</v>
      </c>
      <c r="E115" s="34" t="s">
        <v>82</v>
      </c>
      <c r="G115" s="72" t="str">
        <f t="shared" si="4"/>
        <v>58</v>
      </c>
      <c r="H115" s="24" t="s">
        <v>819</v>
      </c>
      <c r="I115" s="25" t="s">
        <v>161</v>
      </c>
      <c r="J115" s="26" t="s">
        <v>160</v>
      </c>
      <c r="K115" s="65" t="s">
        <v>389</v>
      </c>
    </row>
    <row r="116" spans="1:11">
      <c r="A116" s="72" t="str">
        <f t="shared" si="3"/>
        <v>B4</v>
      </c>
      <c r="B116" s="27">
        <v>180</v>
      </c>
      <c r="C116" s="25" t="s">
        <v>189</v>
      </c>
      <c r="D116" s="26" t="s">
        <v>188</v>
      </c>
      <c r="E116" s="34" t="s">
        <v>82</v>
      </c>
      <c r="G116" s="72" t="str">
        <f t="shared" si="4"/>
        <v>5A</v>
      </c>
      <c r="H116" s="24" t="s">
        <v>820</v>
      </c>
      <c r="I116" s="25" t="s">
        <v>189</v>
      </c>
      <c r="J116" s="26" t="s">
        <v>188</v>
      </c>
      <c r="K116" s="65" t="s">
        <v>389</v>
      </c>
    </row>
    <row r="117" spans="1:11">
      <c r="A117" s="72" t="str">
        <f t="shared" si="3"/>
        <v>B8</v>
      </c>
      <c r="B117" s="27">
        <v>184</v>
      </c>
      <c r="C117" s="25" t="s">
        <v>191</v>
      </c>
      <c r="D117" s="26" t="s">
        <v>190</v>
      </c>
      <c r="E117" s="34" t="s">
        <v>82</v>
      </c>
      <c r="G117" s="72" t="str">
        <f t="shared" si="4"/>
        <v>5C</v>
      </c>
      <c r="H117" s="24" t="s">
        <v>821</v>
      </c>
      <c r="I117" s="25" t="s">
        <v>191</v>
      </c>
      <c r="J117" s="26" t="s">
        <v>190</v>
      </c>
      <c r="K117" s="65" t="s">
        <v>389</v>
      </c>
    </row>
    <row r="118" spans="1:11">
      <c r="A118" s="72" t="str">
        <f t="shared" si="3"/>
        <v>BC</v>
      </c>
      <c r="B118" s="27">
        <v>188</v>
      </c>
      <c r="C118" s="25" t="s">
        <v>144</v>
      </c>
      <c r="D118" s="26" t="s">
        <v>143</v>
      </c>
      <c r="E118" s="34" t="s">
        <v>82</v>
      </c>
      <c r="G118" s="72" t="str">
        <f t="shared" si="4"/>
        <v>5E</v>
      </c>
      <c r="H118" s="24" t="s">
        <v>822</v>
      </c>
      <c r="I118" s="25" t="s">
        <v>144</v>
      </c>
      <c r="J118" s="26" t="s">
        <v>143</v>
      </c>
      <c r="K118" s="65" t="s">
        <v>389</v>
      </c>
    </row>
    <row r="119" spans="1:11">
      <c r="A119" s="72" t="str">
        <f t="shared" si="3"/>
        <v>C0</v>
      </c>
      <c r="B119" s="27">
        <v>192</v>
      </c>
      <c r="C119" s="25" t="s">
        <v>193</v>
      </c>
      <c r="D119" s="26" t="s">
        <v>192</v>
      </c>
      <c r="E119" s="34" t="s">
        <v>82</v>
      </c>
      <c r="G119" s="72" t="str">
        <f t="shared" si="4"/>
        <v>60</v>
      </c>
      <c r="H119" s="24" t="s">
        <v>823</v>
      </c>
      <c r="I119" s="25" t="s">
        <v>193</v>
      </c>
      <c r="J119" s="26" t="s">
        <v>192</v>
      </c>
      <c r="K119" s="65" t="s">
        <v>389</v>
      </c>
    </row>
    <row r="120" spans="1:11">
      <c r="A120" s="72" t="str">
        <f t="shared" si="3"/>
        <v>C4</v>
      </c>
      <c r="B120" s="27">
        <v>196</v>
      </c>
      <c r="C120" s="25" t="s">
        <v>107</v>
      </c>
      <c r="D120" s="26" t="s">
        <v>106</v>
      </c>
      <c r="E120" s="34" t="s">
        <v>82</v>
      </c>
      <c r="G120" s="72" t="str">
        <f t="shared" si="4"/>
        <v>62</v>
      </c>
      <c r="H120" s="24" t="s">
        <v>824</v>
      </c>
      <c r="I120" s="25" t="s">
        <v>107</v>
      </c>
      <c r="J120" s="26" t="s">
        <v>106</v>
      </c>
      <c r="K120" s="65" t="s">
        <v>389</v>
      </c>
    </row>
    <row r="121" spans="1:11">
      <c r="A121" s="72" t="str">
        <f t="shared" si="3"/>
        <v>C8</v>
      </c>
      <c r="B121" s="27">
        <v>200</v>
      </c>
      <c r="C121" s="25" t="s">
        <v>224</v>
      </c>
      <c r="D121" s="26" t="s">
        <v>364</v>
      </c>
      <c r="E121" s="34" t="s">
        <v>82</v>
      </c>
      <c r="G121" s="72" t="str">
        <f t="shared" si="4"/>
        <v>64</v>
      </c>
      <c r="H121" s="24" t="s">
        <v>825</v>
      </c>
      <c r="I121" s="25" t="s">
        <v>224</v>
      </c>
      <c r="J121" s="26" t="s">
        <v>364</v>
      </c>
      <c r="K121" s="65" t="s">
        <v>389</v>
      </c>
    </row>
    <row r="122" spans="1:11">
      <c r="A122" s="72" t="str">
        <f t="shared" si="3"/>
        <v>CC</v>
      </c>
      <c r="B122" s="27">
        <v>204</v>
      </c>
      <c r="C122" s="25" t="s">
        <v>216</v>
      </c>
      <c r="D122" s="26" t="s">
        <v>365</v>
      </c>
      <c r="E122" s="34" t="s">
        <v>82</v>
      </c>
      <c r="G122" s="72" t="str">
        <f t="shared" si="4"/>
        <v>66</v>
      </c>
      <c r="H122" s="24" t="s">
        <v>826</v>
      </c>
      <c r="I122" s="25" t="s">
        <v>216</v>
      </c>
      <c r="J122" s="26" t="s">
        <v>365</v>
      </c>
      <c r="K122" s="65" t="s">
        <v>389</v>
      </c>
    </row>
    <row r="123" spans="1:11">
      <c r="A123" s="72" t="str">
        <f t="shared" si="3"/>
        <v>D0</v>
      </c>
      <c r="B123" s="27">
        <v>208</v>
      </c>
      <c r="C123" s="25" t="s">
        <v>225</v>
      </c>
      <c r="D123" s="26" t="s">
        <v>366</v>
      </c>
      <c r="E123" s="34" t="s">
        <v>82</v>
      </c>
      <c r="G123" s="72" t="str">
        <f t="shared" si="4"/>
        <v>68</v>
      </c>
      <c r="H123" s="24" t="s">
        <v>827</v>
      </c>
      <c r="I123" s="25" t="s">
        <v>225</v>
      </c>
      <c r="J123" s="26" t="s">
        <v>366</v>
      </c>
      <c r="K123" s="65" t="s">
        <v>389</v>
      </c>
    </row>
    <row r="124" spans="1:11">
      <c r="A124" s="72" t="str">
        <f t="shared" si="3"/>
        <v>D4</v>
      </c>
      <c r="B124" s="27">
        <v>212</v>
      </c>
      <c r="C124" s="25" t="s">
        <v>215</v>
      </c>
      <c r="D124" s="26" t="s">
        <v>367</v>
      </c>
      <c r="E124" s="34" t="s">
        <v>82</v>
      </c>
      <c r="G124" s="72" t="str">
        <f t="shared" si="4"/>
        <v>6A</v>
      </c>
      <c r="H124" s="24" t="s">
        <v>828</v>
      </c>
      <c r="I124" s="25" t="s">
        <v>215</v>
      </c>
      <c r="J124" s="26" t="s">
        <v>367</v>
      </c>
      <c r="K124" s="65" t="s">
        <v>389</v>
      </c>
    </row>
    <row r="125" spans="1:11">
      <c r="A125" s="72" t="str">
        <f t="shared" si="3"/>
        <v>D8</v>
      </c>
      <c r="B125" s="27">
        <v>216</v>
      </c>
      <c r="C125" s="25" t="s">
        <v>214</v>
      </c>
      <c r="D125" s="26" t="s">
        <v>368</v>
      </c>
      <c r="E125" s="34" t="s">
        <v>82</v>
      </c>
      <c r="G125" s="72" t="str">
        <f t="shared" si="4"/>
        <v>6C</v>
      </c>
      <c r="H125" s="24" t="s">
        <v>829</v>
      </c>
      <c r="I125" s="25" t="s">
        <v>214</v>
      </c>
      <c r="J125" s="26" t="s">
        <v>368</v>
      </c>
      <c r="K125" s="65" t="s">
        <v>389</v>
      </c>
    </row>
    <row r="126" spans="1:11">
      <c r="A126" s="72" t="str">
        <f t="shared" si="3"/>
        <v>DC</v>
      </c>
      <c r="B126" s="27">
        <v>220</v>
      </c>
      <c r="C126" s="25" t="s">
        <v>220</v>
      </c>
      <c r="D126" s="26" t="s">
        <v>369</v>
      </c>
      <c r="E126" s="34" t="s">
        <v>82</v>
      </c>
      <c r="G126" s="72" t="str">
        <f t="shared" si="4"/>
        <v>6E</v>
      </c>
      <c r="H126" s="24" t="s">
        <v>830</v>
      </c>
      <c r="I126" s="25" t="s">
        <v>220</v>
      </c>
      <c r="J126" s="26" t="s">
        <v>369</v>
      </c>
      <c r="K126" s="65" t="s">
        <v>389</v>
      </c>
    </row>
    <row r="127" spans="1:11">
      <c r="A127" s="72" t="str">
        <f t="shared" si="3"/>
        <v>E0</v>
      </c>
      <c r="B127" s="27">
        <v>224</v>
      </c>
      <c r="C127" s="25" t="s">
        <v>218</v>
      </c>
      <c r="D127" s="26" t="s">
        <v>86</v>
      </c>
      <c r="E127" s="34" t="s">
        <v>82</v>
      </c>
      <c r="G127" s="72" t="str">
        <f t="shared" si="4"/>
        <v>70</v>
      </c>
      <c r="H127" s="24" t="s">
        <v>831</v>
      </c>
      <c r="I127" s="25" t="s">
        <v>218</v>
      </c>
      <c r="J127" s="26" t="s">
        <v>86</v>
      </c>
      <c r="K127" s="65" t="s">
        <v>389</v>
      </c>
    </row>
    <row r="128" spans="1:11">
      <c r="A128" s="72" t="str">
        <f t="shared" si="3"/>
        <v>E4</v>
      </c>
      <c r="B128" s="27">
        <v>228</v>
      </c>
      <c r="C128" s="25" t="s">
        <v>222</v>
      </c>
      <c r="D128" s="26" t="s">
        <v>200</v>
      </c>
      <c r="E128" s="34" t="s">
        <v>82</v>
      </c>
      <c r="G128" s="72" t="str">
        <f t="shared" si="4"/>
        <v>72</v>
      </c>
      <c r="H128" s="24" t="s">
        <v>832</v>
      </c>
      <c r="I128" s="25" t="s">
        <v>222</v>
      </c>
      <c r="J128" s="26" t="s">
        <v>200</v>
      </c>
      <c r="K128" s="65" t="s">
        <v>389</v>
      </c>
    </row>
    <row r="129" spans="1:11">
      <c r="A129" s="72" t="str">
        <f t="shared" si="3"/>
        <v>E8</v>
      </c>
      <c r="B129" s="27">
        <v>232</v>
      </c>
      <c r="C129" s="25" t="s">
        <v>219</v>
      </c>
      <c r="D129" s="26" t="s">
        <v>83</v>
      </c>
      <c r="E129" s="34" t="s">
        <v>82</v>
      </c>
      <c r="G129" s="72" t="str">
        <f t="shared" si="4"/>
        <v>74</v>
      </c>
      <c r="H129" s="24" t="s">
        <v>833</v>
      </c>
      <c r="I129" s="25" t="s">
        <v>219</v>
      </c>
      <c r="J129" s="26" t="s">
        <v>83</v>
      </c>
      <c r="K129" s="65" t="s">
        <v>389</v>
      </c>
    </row>
    <row r="130" spans="1:11">
      <c r="A130" s="72" t="str">
        <f t="shared" si="3"/>
        <v>EC</v>
      </c>
      <c r="B130" s="27">
        <v>236</v>
      </c>
      <c r="C130" s="25" t="s">
        <v>221</v>
      </c>
      <c r="D130" s="26" t="s">
        <v>194</v>
      </c>
      <c r="E130" s="34" t="s">
        <v>82</v>
      </c>
      <c r="G130" s="72" t="str">
        <f t="shared" si="4"/>
        <v>76</v>
      </c>
      <c r="H130" s="24" t="s">
        <v>834</v>
      </c>
      <c r="I130" s="25" t="s">
        <v>221</v>
      </c>
      <c r="J130" s="26" t="s">
        <v>194</v>
      </c>
      <c r="K130" s="65" t="s">
        <v>389</v>
      </c>
    </row>
    <row r="131" spans="1:11">
      <c r="A131" s="72" t="str">
        <f t="shared" si="3"/>
        <v>F0</v>
      </c>
      <c r="B131" s="27">
        <v>240</v>
      </c>
      <c r="C131" s="30" t="s">
        <v>341</v>
      </c>
      <c r="D131" s="26" t="s">
        <v>370</v>
      </c>
      <c r="E131" s="34" t="s">
        <v>82</v>
      </c>
      <c r="G131" s="72" t="str">
        <f t="shared" si="4"/>
        <v>78</v>
      </c>
      <c r="H131" s="24" t="s">
        <v>835</v>
      </c>
      <c r="I131" s="30" t="s">
        <v>341</v>
      </c>
      <c r="J131" s="26" t="s">
        <v>370</v>
      </c>
      <c r="K131" s="65" t="s">
        <v>389</v>
      </c>
    </row>
    <row r="132" spans="1:11">
      <c r="A132" s="72" t="str">
        <f t="shared" si="3"/>
        <v>F4</v>
      </c>
      <c r="B132" s="27">
        <v>244</v>
      </c>
      <c r="C132" s="30" t="s">
        <v>342</v>
      </c>
      <c r="D132" s="26" t="s">
        <v>371</v>
      </c>
      <c r="E132" s="34" t="s">
        <v>82</v>
      </c>
      <c r="G132" s="72" t="str">
        <f t="shared" si="4"/>
        <v>7A</v>
      </c>
      <c r="H132" s="24" t="s">
        <v>836</v>
      </c>
      <c r="I132" s="30" t="s">
        <v>342</v>
      </c>
      <c r="J132" s="26" t="s">
        <v>371</v>
      </c>
      <c r="K132" s="65" t="s">
        <v>389</v>
      </c>
    </row>
    <row r="133" spans="1:11">
      <c r="A133" s="72" t="str">
        <f t="shared" si="3"/>
        <v>F8</v>
      </c>
      <c r="B133" s="27">
        <v>248</v>
      </c>
      <c r="C133" s="31" t="s">
        <v>209</v>
      </c>
      <c r="D133" s="26" t="s">
        <v>372</v>
      </c>
      <c r="E133" s="34" t="s">
        <v>82</v>
      </c>
      <c r="F133" s="71"/>
      <c r="G133" s="72" t="str">
        <f t="shared" si="4"/>
        <v>7C</v>
      </c>
      <c r="H133" s="24" t="s">
        <v>837</v>
      </c>
      <c r="I133" s="31" t="s">
        <v>209</v>
      </c>
      <c r="J133" s="26" t="s">
        <v>372</v>
      </c>
      <c r="K133" s="65" t="s">
        <v>389</v>
      </c>
    </row>
    <row r="138" spans="1:11">
      <c r="A138" s="367" t="s">
        <v>711</v>
      </c>
      <c r="B138" s="368"/>
      <c r="C138" s="368"/>
      <c r="D138" s="368"/>
      <c r="E138" s="369"/>
      <c r="G138" s="367" t="s">
        <v>712</v>
      </c>
      <c r="H138" s="368"/>
      <c r="I138" s="368"/>
      <c r="J138" s="368"/>
      <c r="K138" s="369"/>
    </row>
    <row r="139" spans="1:11">
      <c r="A139" s="17" t="s">
        <v>74</v>
      </c>
      <c r="B139" s="18" t="s">
        <v>75</v>
      </c>
      <c r="C139" s="63" t="s">
        <v>76</v>
      </c>
      <c r="D139" s="20" t="s">
        <v>77</v>
      </c>
      <c r="E139" s="238" t="s">
        <v>78</v>
      </c>
      <c r="F139" s="21"/>
      <c r="G139" s="17" t="s">
        <v>74</v>
      </c>
      <c r="H139" s="18" t="s">
        <v>75</v>
      </c>
      <c r="I139" s="63" t="s">
        <v>76</v>
      </c>
      <c r="J139" s="20" t="s">
        <v>77</v>
      </c>
      <c r="K139" s="20" t="s">
        <v>78</v>
      </c>
    </row>
    <row r="140" spans="1:11">
      <c r="A140" s="72" t="str">
        <f>DEC2HEX(B140)</f>
        <v>0</v>
      </c>
      <c r="B140" s="24">
        <v>0</v>
      </c>
      <c r="C140" s="25" t="s">
        <v>195</v>
      </c>
      <c r="D140" s="26" t="s">
        <v>344</v>
      </c>
      <c r="E140" s="34" t="s">
        <v>82</v>
      </c>
      <c r="G140" s="72" t="str">
        <f>DEC2HEX(H140)</f>
        <v>0</v>
      </c>
      <c r="H140" s="24">
        <v>0</v>
      </c>
      <c r="I140" s="25" t="s">
        <v>195</v>
      </c>
      <c r="J140" s="26" t="s">
        <v>344</v>
      </c>
      <c r="K140" s="65" t="s">
        <v>389</v>
      </c>
    </row>
    <row r="141" spans="1:11">
      <c r="A141" s="72" t="str">
        <f t="shared" ref="A141:A202" si="6">DEC2HEX(B141)</f>
        <v>4</v>
      </c>
      <c r="B141" s="24">
        <f>B140+4</f>
        <v>4</v>
      </c>
      <c r="C141" s="30" t="s">
        <v>322</v>
      </c>
      <c r="D141" s="26" t="s">
        <v>345</v>
      </c>
      <c r="E141" s="34" t="s">
        <v>82</v>
      </c>
      <c r="G141" s="72" t="str">
        <f t="shared" ref="G141:G202" si="7">DEC2HEX(H141)</f>
        <v>2</v>
      </c>
      <c r="H141" s="24" t="s">
        <v>800</v>
      </c>
      <c r="I141" s="30" t="s">
        <v>322</v>
      </c>
      <c r="J141" s="26" t="s">
        <v>345</v>
      </c>
      <c r="K141" s="65" t="s">
        <v>389</v>
      </c>
    </row>
    <row r="142" spans="1:11">
      <c r="A142" s="72" t="str">
        <f t="shared" si="6"/>
        <v>8</v>
      </c>
      <c r="B142" s="24">
        <f>B141+4</f>
        <v>8</v>
      </c>
      <c r="C142" s="25" t="s">
        <v>323</v>
      </c>
      <c r="D142" s="26" t="s">
        <v>346</v>
      </c>
      <c r="E142" s="34" t="s">
        <v>82</v>
      </c>
      <c r="G142" s="72" t="str">
        <f t="shared" si="7"/>
        <v>4</v>
      </c>
      <c r="H142" s="24" t="s">
        <v>801</v>
      </c>
      <c r="I142" s="25" t="s">
        <v>323</v>
      </c>
      <c r="J142" s="26" t="s">
        <v>346</v>
      </c>
      <c r="K142" s="65" t="s">
        <v>389</v>
      </c>
    </row>
    <row r="143" spans="1:11">
      <c r="A143" s="72" t="str">
        <f t="shared" si="6"/>
        <v>C</v>
      </c>
      <c r="B143" s="24">
        <f t="shared" ref="B143" si="8">B142+4</f>
        <v>12</v>
      </c>
      <c r="C143" s="64" t="s">
        <v>101</v>
      </c>
      <c r="D143" s="26" t="s">
        <v>347</v>
      </c>
      <c r="E143" s="34" t="s">
        <v>82</v>
      </c>
      <c r="G143" s="72" t="str">
        <f t="shared" si="7"/>
        <v>6</v>
      </c>
      <c r="H143" s="24" t="s">
        <v>817</v>
      </c>
      <c r="I143" s="64" t="s">
        <v>101</v>
      </c>
      <c r="J143" s="26" t="s">
        <v>347</v>
      </c>
      <c r="K143" s="65" t="s">
        <v>389</v>
      </c>
    </row>
    <row r="144" spans="1:11">
      <c r="A144" s="72" t="str">
        <f t="shared" si="6"/>
        <v>10</v>
      </c>
      <c r="B144" s="27">
        <v>16</v>
      </c>
      <c r="C144" s="22" t="s">
        <v>149</v>
      </c>
      <c r="D144" s="26" t="s">
        <v>148</v>
      </c>
      <c r="E144" s="34" t="s">
        <v>82</v>
      </c>
      <c r="G144" s="72" t="str">
        <f t="shared" si="7"/>
        <v>8</v>
      </c>
      <c r="H144" s="24" t="s">
        <v>252</v>
      </c>
      <c r="I144" s="22" t="s">
        <v>149</v>
      </c>
      <c r="J144" s="26" t="s">
        <v>148</v>
      </c>
      <c r="K144" s="65" t="s">
        <v>389</v>
      </c>
    </row>
    <row r="145" spans="1:11">
      <c r="A145" s="72" t="str">
        <f t="shared" si="6"/>
        <v>14</v>
      </c>
      <c r="B145" s="27">
        <v>20</v>
      </c>
      <c r="C145" s="30" t="s">
        <v>343</v>
      </c>
      <c r="D145" s="26" t="s">
        <v>199</v>
      </c>
      <c r="E145" s="34" t="s">
        <v>82</v>
      </c>
      <c r="G145" s="72" t="str">
        <f t="shared" si="7"/>
        <v>A</v>
      </c>
      <c r="H145" s="24" t="s">
        <v>89</v>
      </c>
      <c r="I145" s="30" t="s">
        <v>343</v>
      </c>
      <c r="J145" s="26" t="s">
        <v>199</v>
      </c>
      <c r="K145" s="65" t="s">
        <v>389</v>
      </c>
    </row>
    <row r="146" spans="1:11">
      <c r="A146" s="72" t="str">
        <f t="shared" si="6"/>
        <v>18</v>
      </c>
      <c r="B146" s="27">
        <v>24</v>
      </c>
      <c r="C146" s="30" t="s">
        <v>201</v>
      </c>
      <c r="D146" s="26" t="s">
        <v>152</v>
      </c>
      <c r="E146" s="34" t="s">
        <v>82</v>
      </c>
      <c r="G146" s="72" t="str">
        <f t="shared" si="7"/>
        <v>C</v>
      </c>
      <c r="H146" s="24" t="s">
        <v>253</v>
      </c>
      <c r="I146" s="30" t="s">
        <v>201</v>
      </c>
      <c r="J146" s="26" t="s">
        <v>152</v>
      </c>
      <c r="K146" s="65" t="s">
        <v>389</v>
      </c>
    </row>
    <row r="147" spans="1:11">
      <c r="A147" s="72" t="str">
        <f t="shared" si="6"/>
        <v>1C</v>
      </c>
      <c r="B147" s="27">
        <v>28</v>
      </c>
      <c r="C147" s="64" t="s">
        <v>324</v>
      </c>
      <c r="D147" s="26" t="s">
        <v>348</v>
      </c>
      <c r="E147" s="34" t="s">
        <v>82</v>
      </c>
      <c r="G147" s="72" t="str">
        <f t="shared" si="7"/>
        <v>E</v>
      </c>
      <c r="H147" s="24" t="s">
        <v>92</v>
      </c>
      <c r="I147" s="64" t="s">
        <v>324</v>
      </c>
      <c r="J147" s="26" t="s">
        <v>348</v>
      </c>
      <c r="K147" s="65" t="s">
        <v>389</v>
      </c>
    </row>
    <row r="148" spans="1:11">
      <c r="A148" s="72" t="str">
        <f t="shared" si="6"/>
        <v>20</v>
      </c>
      <c r="B148" s="27">
        <v>32</v>
      </c>
      <c r="C148" s="30" t="s">
        <v>325</v>
      </c>
      <c r="D148" s="26" t="s">
        <v>349</v>
      </c>
      <c r="E148" s="34" t="s">
        <v>82</v>
      </c>
      <c r="G148" s="72" t="str">
        <f t="shared" si="7"/>
        <v>10</v>
      </c>
      <c r="H148" s="24" t="s">
        <v>254</v>
      </c>
      <c r="I148" s="30" t="s">
        <v>325</v>
      </c>
      <c r="J148" s="26" t="s">
        <v>349</v>
      </c>
      <c r="K148" s="65" t="s">
        <v>389</v>
      </c>
    </row>
    <row r="149" spans="1:11">
      <c r="A149" s="72" t="str">
        <f t="shared" si="6"/>
        <v>24</v>
      </c>
      <c r="B149" s="27">
        <v>36</v>
      </c>
      <c r="C149" s="30" t="s">
        <v>326</v>
      </c>
      <c r="D149" s="26" t="s">
        <v>196</v>
      </c>
      <c r="E149" s="34" t="s">
        <v>82</v>
      </c>
      <c r="G149" s="72" t="str">
        <f t="shared" si="7"/>
        <v>12</v>
      </c>
      <c r="H149" s="24" t="s">
        <v>95</v>
      </c>
      <c r="I149" s="30" t="s">
        <v>326</v>
      </c>
      <c r="J149" s="26" t="s">
        <v>196</v>
      </c>
      <c r="K149" s="65" t="s">
        <v>389</v>
      </c>
    </row>
    <row r="150" spans="1:11">
      <c r="A150" s="72" t="str">
        <f t="shared" si="6"/>
        <v>28</v>
      </c>
      <c r="B150" s="27">
        <v>40</v>
      </c>
      <c r="C150" s="25" t="s">
        <v>327</v>
      </c>
      <c r="D150" s="26" t="s">
        <v>350</v>
      </c>
      <c r="E150" s="34" t="s">
        <v>82</v>
      </c>
      <c r="G150" s="72" t="str">
        <f t="shared" si="7"/>
        <v>14</v>
      </c>
      <c r="H150" s="24" t="s">
        <v>98</v>
      </c>
      <c r="I150" s="25" t="s">
        <v>327</v>
      </c>
      <c r="J150" s="26" t="s">
        <v>350</v>
      </c>
      <c r="K150" s="65" t="s">
        <v>389</v>
      </c>
    </row>
    <row r="151" spans="1:11">
      <c r="A151" s="72" t="str">
        <f t="shared" si="6"/>
        <v>2C</v>
      </c>
      <c r="B151" s="27">
        <v>44</v>
      </c>
      <c r="C151" s="25" t="s">
        <v>135</v>
      </c>
      <c r="D151" s="26" t="s">
        <v>134</v>
      </c>
      <c r="E151" s="34" t="s">
        <v>82</v>
      </c>
      <c r="G151" s="72" t="str">
        <f t="shared" si="7"/>
        <v>16</v>
      </c>
      <c r="H151" s="24" t="s">
        <v>802</v>
      </c>
      <c r="I151" s="25" t="s">
        <v>135</v>
      </c>
      <c r="J151" s="26" t="s">
        <v>134</v>
      </c>
      <c r="K151" s="65" t="s">
        <v>389</v>
      </c>
    </row>
    <row r="152" spans="1:11">
      <c r="A152" s="72" t="str">
        <f t="shared" si="6"/>
        <v>30</v>
      </c>
      <c r="B152" s="27">
        <v>48</v>
      </c>
      <c r="C152" s="25" t="s">
        <v>328</v>
      </c>
      <c r="D152" s="26" t="s">
        <v>155</v>
      </c>
      <c r="E152" s="34" t="s">
        <v>82</v>
      </c>
      <c r="G152" s="72" t="str">
        <f t="shared" si="7"/>
        <v>18</v>
      </c>
      <c r="H152" s="24" t="s">
        <v>102</v>
      </c>
      <c r="I152" s="25" t="s">
        <v>328</v>
      </c>
      <c r="J152" s="26" t="s">
        <v>155</v>
      </c>
      <c r="K152" s="65" t="s">
        <v>389</v>
      </c>
    </row>
    <row r="153" spans="1:11">
      <c r="A153" s="72" t="str">
        <f t="shared" si="6"/>
        <v>34</v>
      </c>
      <c r="B153" s="27">
        <v>52</v>
      </c>
      <c r="C153" s="64" t="s">
        <v>156</v>
      </c>
      <c r="D153" s="26" t="s">
        <v>184</v>
      </c>
      <c r="E153" s="34" t="s">
        <v>82</v>
      </c>
      <c r="G153" s="72" t="str">
        <f t="shared" si="7"/>
        <v>1A</v>
      </c>
      <c r="H153" s="24" t="s">
        <v>803</v>
      </c>
      <c r="I153" s="64" t="s">
        <v>156</v>
      </c>
      <c r="J153" s="26" t="s">
        <v>184</v>
      </c>
      <c r="K153" s="65" t="s">
        <v>389</v>
      </c>
    </row>
    <row r="154" spans="1:11">
      <c r="A154" s="72" t="str">
        <f t="shared" si="6"/>
        <v>38</v>
      </c>
      <c r="B154" s="27">
        <v>56</v>
      </c>
      <c r="C154" s="25" t="s">
        <v>329</v>
      </c>
      <c r="D154" s="26" t="s">
        <v>351</v>
      </c>
      <c r="E154" s="34" t="s">
        <v>82</v>
      </c>
      <c r="G154" s="72" t="str">
        <f t="shared" si="7"/>
        <v>1C</v>
      </c>
      <c r="H154" s="24" t="s">
        <v>103</v>
      </c>
      <c r="I154" s="25" t="s">
        <v>329</v>
      </c>
      <c r="J154" s="26" t="s">
        <v>351</v>
      </c>
      <c r="K154" s="65" t="s">
        <v>389</v>
      </c>
    </row>
    <row r="155" spans="1:11">
      <c r="A155" s="72" t="str">
        <f t="shared" si="6"/>
        <v>3C</v>
      </c>
      <c r="B155" s="27">
        <v>60</v>
      </c>
      <c r="C155" s="25" t="s">
        <v>330</v>
      </c>
      <c r="D155" s="26" t="s">
        <v>198</v>
      </c>
      <c r="E155" s="34" t="s">
        <v>82</v>
      </c>
      <c r="G155" s="72" t="str">
        <f t="shared" si="7"/>
        <v>1E</v>
      </c>
      <c r="H155" s="24" t="s">
        <v>112</v>
      </c>
      <c r="I155" s="25" t="s">
        <v>330</v>
      </c>
      <c r="J155" s="26" t="s">
        <v>198</v>
      </c>
      <c r="K155" s="65" t="s">
        <v>389</v>
      </c>
    </row>
    <row r="156" spans="1:11">
      <c r="A156" s="72" t="str">
        <f t="shared" si="6"/>
        <v>40</v>
      </c>
      <c r="B156" s="27">
        <v>64</v>
      </c>
      <c r="C156" s="64" t="s">
        <v>331</v>
      </c>
      <c r="D156" s="26" t="s">
        <v>128</v>
      </c>
      <c r="E156" s="34" t="s">
        <v>82</v>
      </c>
      <c r="G156" s="72" t="str">
        <f t="shared" si="7"/>
        <v>20</v>
      </c>
      <c r="H156" s="24" t="s">
        <v>804</v>
      </c>
      <c r="I156" s="64" t="s">
        <v>331</v>
      </c>
      <c r="J156" s="26" t="s">
        <v>128</v>
      </c>
      <c r="K156" s="65" t="s">
        <v>389</v>
      </c>
    </row>
    <row r="157" spans="1:11">
      <c r="A157" s="72" t="str">
        <f t="shared" si="6"/>
        <v>44</v>
      </c>
      <c r="B157" s="27">
        <v>68</v>
      </c>
      <c r="C157" s="64" t="s">
        <v>332</v>
      </c>
      <c r="D157" s="26" t="s">
        <v>197</v>
      </c>
      <c r="E157" s="34" t="s">
        <v>82</v>
      </c>
      <c r="G157" s="72" t="str">
        <f t="shared" si="7"/>
        <v>22</v>
      </c>
      <c r="H157" s="24" t="s">
        <v>114</v>
      </c>
      <c r="I157" s="64" t="s">
        <v>332</v>
      </c>
      <c r="J157" s="26" t="s">
        <v>197</v>
      </c>
      <c r="K157" s="65" t="s">
        <v>389</v>
      </c>
    </row>
    <row r="158" spans="1:11">
      <c r="A158" s="72" t="str">
        <f t="shared" si="6"/>
        <v>48</v>
      </c>
      <c r="B158" s="27">
        <v>72</v>
      </c>
      <c r="C158" s="345" t="s">
        <v>206</v>
      </c>
      <c r="D158" s="26" t="s">
        <v>352</v>
      </c>
      <c r="E158" s="34" t="s">
        <v>82</v>
      </c>
      <c r="G158" s="72" t="str">
        <f t="shared" si="7"/>
        <v>24</v>
      </c>
      <c r="H158" s="24" t="s">
        <v>805</v>
      </c>
      <c r="I158" s="345" t="s">
        <v>206</v>
      </c>
      <c r="J158" s="26" t="s">
        <v>352</v>
      </c>
      <c r="K158" s="65" t="s">
        <v>389</v>
      </c>
    </row>
    <row r="159" spans="1:11">
      <c r="A159" s="72" t="str">
        <f t="shared" si="6"/>
        <v>4C</v>
      </c>
      <c r="B159" s="27">
        <v>76</v>
      </c>
      <c r="C159" s="345" t="s">
        <v>339</v>
      </c>
      <c r="D159" s="26" t="s">
        <v>353</v>
      </c>
      <c r="E159" s="34" t="s">
        <v>82</v>
      </c>
      <c r="G159" s="72" t="str">
        <f t="shared" si="7"/>
        <v>26</v>
      </c>
      <c r="H159" s="24" t="s">
        <v>118</v>
      </c>
      <c r="I159" s="345" t="s">
        <v>339</v>
      </c>
      <c r="J159" s="26" t="s">
        <v>353</v>
      </c>
      <c r="K159" s="65" t="s">
        <v>389</v>
      </c>
    </row>
    <row r="160" spans="1:11">
      <c r="A160" s="72" t="str">
        <f t="shared" si="6"/>
        <v>50</v>
      </c>
      <c r="B160" s="27">
        <v>80</v>
      </c>
      <c r="C160" s="345" t="s">
        <v>340</v>
      </c>
      <c r="D160" s="26" t="s">
        <v>208</v>
      </c>
      <c r="E160" s="34" t="s">
        <v>82</v>
      </c>
      <c r="G160" s="72" t="str">
        <f t="shared" si="7"/>
        <v>28</v>
      </c>
      <c r="H160" s="24" t="s">
        <v>125</v>
      </c>
      <c r="I160" s="345" t="s">
        <v>340</v>
      </c>
      <c r="J160" s="26" t="s">
        <v>208</v>
      </c>
      <c r="K160" s="65" t="s">
        <v>389</v>
      </c>
    </row>
    <row r="161" spans="1:11">
      <c r="A161" s="72" t="str">
        <f t="shared" si="6"/>
        <v>54</v>
      </c>
      <c r="B161" s="27">
        <v>84</v>
      </c>
      <c r="C161" s="31" t="s">
        <v>333</v>
      </c>
      <c r="D161" s="26" t="s">
        <v>354</v>
      </c>
      <c r="E161" s="34" t="s">
        <v>82</v>
      </c>
      <c r="G161" s="72" t="str">
        <f t="shared" si="7"/>
        <v>2A</v>
      </c>
      <c r="H161" s="24" t="s">
        <v>806</v>
      </c>
      <c r="I161" s="31" t="s">
        <v>333</v>
      </c>
      <c r="J161" s="26" t="s">
        <v>354</v>
      </c>
      <c r="K161" s="65" t="s">
        <v>389</v>
      </c>
    </row>
    <row r="162" spans="1:11">
      <c r="A162" s="72" t="str">
        <f t="shared" si="6"/>
        <v>58</v>
      </c>
      <c r="B162" s="27">
        <v>88</v>
      </c>
      <c r="C162" s="64" t="s">
        <v>334</v>
      </c>
      <c r="D162" s="26" t="s">
        <v>355</v>
      </c>
      <c r="E162" s="34" t="s">
        <v>82</v>
      </c>
      <c r="G162" s="72" t="str">
        <f t="shared" si="7"/>
        <v>2C</v>
      </c>
      <c r="H162" s="24" t="s">
        <v>129</v>
      </c>
      <c r="I162" s="64" t="s">
        <v>334</v>
      </c>
      <c r="J162" s="26" t="s">
        <v>355</v>
      </c>
      <c r="K162" s="65" t="s">
        <v>389</v>
      </c>
    </row>
    <row r="163" spans="1:11">
      <c r="A163" s="72" t="str">
        <f t="shared" si="6"/>
        <v>5C</v>
      </c>
      <c r="B163" s="27">
        <v>92</v>
      </c>
      <c r="C163" s="25" t="s">
        <v>335</v>
      </c>
      <c r="D163" s="26" t="s">
        <v>356</v>
      </c>
      <c r="E163" s="34" t="s">
        <v>82</v>
      </c>
      <c r="G163" s="72" t="str">
        <f t="shared" si="7"/>
        <v>2E</v>
      </c>
      <c r="H163" s="24" t="s">
        <v>807</v>
      </c>
      <c r="I163" s="25" t="s">
        <v>335</v>
      </c>
      <c r="J163" s="26" t="s">
        <v>356</v>
      </c>
      <c r="K163" s="65" t="s">
        <v>389</v>
      </c>
    </row>
    <row r="164" spans="1:11">
      <c r="A164" s="72" t="str">
        <f t="shared" si="6"/>
        <v>60</v>
      </c>
      <c r="B164" s="27">
        <v>96</v>
      </c>
      <c r="C164" s="25" t="s">
        <v>336</v>
      </c>
      <c r="D164" s="26" t="s">
        <v>357</v>
      </c>
      <c r="E164" s="34" t="s">
        <v>82</v>
      </c>
      <c r="G164" s="72" t="str">
        <f t="shared" si="7"/>
        <v>30</v>
      </c>
      <c r="H164" s="24" t="s">
        <v>131</v>
      </c>
      <c r="I164" s="25" t="s">
        <v>336</v>
      </c>
      <c r="J164" s="26" t="s">
        <v>357</v>
      </c>
      <c r="K164" s="65" t="s">
        <v>389</v>
      </c>
    </row>
    <row r="165" spans="1:11">
      <c r="A165" s="72" t="str">
        <f t="shared" si="6"/>
        <v>64</v>
      </c>
      <c r="B165" s="27">
        <v>100</v>
      </c>
      <c r="C165" s="25" t="s">
        <v>337</v>
      </c>
      <c r="D165" s="26" t="s">
        <v>207</v>
      </c>
      <c r="E165" s="34" t="s">
        <v>82</v>
      </c>
      <c r="G165" s="72" t="str">
        <f t="shared" si="7"/>
        <v>32</v>
      </c>
      <c r="H165" s="24" t="s">
        <v>140</v>
      </c>
      <c r="I165" s="25" t="s">
        <v>337</v>
      </c>
      <c r="J165" s="26" t="s">
        <v>207</v>
      </c>
      <c r="K165" s="65" t="s">
        <v>389</v>
      </c>
    </row>
    <row r="166" spans="1:11">
      <c r="A166" s="72" t="str">
        <f t="shared" si="6"/>
        <v>68</v>
      </c>
      <c r="B166" s="27">
        <v>104</v>
      </c>
      <c r="C166" s="25" t="s">
        <v>204</v>
      </c>
      <c r="D166" s="26" t="s">
        <v>203</v>
      </c>
      <c r="E166" s="34" t="s">
        <v>82</v>
      </c>
      <c r="G166" s="72" t="str">
        <f t="shared" si="7"/>
        <v>34</v>
      </c>
      <c r="H166" s="24" t="s">
        <v>808</v>
      </c>
      <c r="I166" s="25" t="s">
        <v>204</v>
      </c>
      <c r="J166" s="26" t="s">
        <v>203</v>
      </c>
      <c r="K166" s="65" t="s">
        <v>389</v>
      </c>
    </row>
    <row r="167" spans="1:11">
      <c r="A167" s="72" t="str">
        <f t="shared" si="6"/>
        <v>6C</v>
      </c>
      <c r="B167" s="27">
        <v>108</v>
      </c>
      <c r="C167" s="25" t="s">
        <v>338</v>
      </c>
      <c r="D167" s="26" t="s">
        <v>358</v>
      </c>
      <c r="E167" s="34" t="s">
        <v>82</v>
      </c>
      <c r="G167" s="72" t="str">
        <f t="shared" si="7"/>
        <v>36</v>
      </c>
      <c r="H167" s="24" t="s">
        <v>145</v>
      </c>
      <c r="I167" s="25" t="s">
        <v>338</v>
      </c>
      <c r="J167" s="26" t="s">
        <v>358</v>
      </c>
      <c r="K167" s="65" t="s">
        <v>389</v>
      </c>
    </row>
    <row r="168" spans="1:11">
      <c r="A168" s="72" t="str">
        <f t="shared" si="6"/>
        <v>70</v>
      </c>
      <c r="B168" s="27">
        <v>112</v>
      </c>
      <c r="C168" s="25" t="s">
        <v>122</v>
      </c>
      <c r="D168" s="26" t="s">
        <v>121</v>
      </c>
      <c r="E168" s="34" t="s">
        <v>82</v>
      </c>
      <c r="G168" s="72" t="str">
        <f t="shared" si="7"/>
        <v>38</v>
      </c>
      <c r="H168" s="24" t="s">
        <v>809</v>
      </c>
      <c r="I168" s="25" t="s">
        <v>122</v>
      </c>
      <c r="J168" s="26" t="s">
        <v>121</v>
      </c>
      <c r="K168" s="65" t="s">
        <v>389</v>
      </c>
    </row>
    <row r="169" spans="1:11">
      <c r="A169" s="72" t="str">
        <f t="shared" si="6"/>
        <v>74</v>
      </c>
      <c r="B169" s="27">
        <v>116</v>
      </c>
      <c r="C169" s="345" t="s">
        <v>217</v>
      </c>
      <c r="D169" s="26" t="s">
        <v>202</v>
      </c>
      <c r="E169" s="34" t="s">
        <v>82</v>
      </c>
      <c r="G169" s="72" t="str">
        <f t="shared" si="7"/>
        <v>3A</v>
      </c>
      <c r="H169" s="24" t="s">
        <v>150</v>
      </c>
      <c r="I169" s="345" t="s">
        <v>217</v>
      </c>
      <c r="J169" s="26" t="s">
        <v>202</v>
      </c>
      <c r="K169" s="65" t="s">
        <v>389</v>
      </c>
    </row>
    <row r="170" spans="1:11">
      <c r="A170" s="72" t="str">
        <f t="shared" si="6"/>
        <v>78</v>
      </c>
      <c r="B170" s="27">
        <v>120</v>
      </c>
      <c r="C170" s="345" t="s">
        <v>223</v>
      </c>
      <c r="D170" s="26" t="s">
        <v>359</v>
      </c>
      <c r="E170" s="34" t="s">
        <v>82</v>
      </c>
      <c r="G170" s="72" t="str">
        <f t="shared" si="7"/>
        <v>3C</v>
      </c>
      <c r="H170" s="24" t="s">
        <v>157</v>
      </c>
      <c r="I170" s="345" t="s">
        <v>223</v>
      </c>
      <c r="J170" s="26" t="s">
        <v>359</v>
      </c>
      <c r="K170" s="65" t="s">
        <v>389</v>
      </c>
    </row>
    <row r="171" spans="1:11">
      <c r="A171" s="72" t="str">
        <f t="shared" si="6"/>
        <v>7C</v>
      </c>
      <c r="B171" s="27">
        <v>124</v>
      </c>
      <c r="C171" s="345" t="s">
        <v>226</v>
      </c>
      <c r="D171" s="26" t="s">
        <v>360</v>
      </c>
      <c r="E171" s="34" t="s">
        <v>82</v>
      </c>
      <c r="G171" s="72" t="str">
        <f t="shared" si="7"/>
        <v>3E</v>
      </c>
      <c r="H171" s="24" t="s">
        <v>810</v>
      </c>
      <c r="I171" s="345" t="s">
        <v>226</v>
      </c>
      <c r="J171" s="26" t="s">
        <v>360</v>
      </c>
      <c r="K171" s="65" t="s">
        <v>389</v>
      </c>
    </row>
    <row r="172" spans="1:11">
      <c r="A172" s="72" t="str">
        <f t="shared" si="6"/>
        <v>80</v>
      </c>
      <c r="B172" s="27">
        <v>128</v>
      </c>
      <c r="C172" s="25" t="s">
        <v>175</v>
      </c>
      <c r="D172" s="26" t="s">
        <v>174</v>
      </c>
      <c r="E172" s="34" t="s">
        <v>82</v>
      </c>
      <c r="G172" s="72" t="str">
        <f t="shared" si="7"/>
        <v>40</v>
      </c>
      <c r="H172" s="24" t="s">
        <v>162</v>
      </c>
      <c r="I172" s="25" t="s">
        <v>175</v>
      </c>
      <c r="J172" s="26" t="s">
        <v>174</v>
      </c>
      <c r="K172" s="65" t="s">
        <v>389</v>
      </c>
    </row>
    <row r="173" spans="1:11">
      <c r="A173" s="72" t="str">
        <f t="shared" si="6"/>
        <v>84</v>
      </c>
      <c r="B173" s="27">
        <v>132</v>
      </c>
      <c r="C173" s="31" t="s">
        <v>180</v>
      </c>
      <c r="D173" s="26" t="s">
        <v>179</v>
      </c>
      <c r="E173" s="34" t="s">
        <v>82</v>
      </c>
      <c r="G173" s="72" t="str">
        <f t="shared" si="7"/>
        <v>42</v>
      </c>
      <c r="H173" s="24" t="s">
        <v>811</v>
      </c>
      <c r="I173" s="31" t="s">
        <v>180</v>
      </c>
      <c r="J173" s="26" t="s">
        <v>179</v>
      </c>
      <c r="K173" s="65" t="s">
        <v>389</v>
      </c>
    </row>
    <row r="174" spans="1:11">
      <c r="A174" s="72" t="str">
        <f t="shared" si="6"/>
        <v>88</v>
      </c>
      <c r="B174" s="27">
        <v>136</v>
      </c>
      <c r="C174" s="25" t="s">
        <v>211</v>
      </c>
      <c r="D174" s="26" t="s">
        <v>210</v>
      </c>
      <c r="E174" s="34" t="s">
        <v>82</v>
      </c>
      <c r="G174" s="72" t="str">
        <f t="shared" si="7"/>
        <v>44</v>
      </c>
      <c r="H174" s="24" t="s">
        <v>167</v>
      </c>
      <c r="I174" s="25" t="s">
        <v>211</v>
      </c>
      <c r="J174" s="26" t="s">
        <v>210</v>
      </c>
      <c r="K174" s="65" t="s">
        <v>389</v>
      </c>
    </row>
    <row r="175" spans="1:11">
      <c r="A175" s="72" t="str">
        <f t="shared" si="6"/>
        <v>8C</v>
      </c>
      <c r="B175" s="27">
        <v>140</v>
      </c>
      <c r="C175" s="31" t="s">
        <v>213</v>
      </c>
      <c r="D175" s="26" t="s">
        <v>212</v>
      </c>
      <c r="E175" s="34" t="s">
        <v>82</v>
      </c>
      <c r="G175" s="72" t="str">
        <f t="shared" si="7"/>
        <v>46</v>
      </c>
      <c r="H175" s="24" t="s">
        <v>176</v>
      </c>
      <c r="I175" s="31" t="s">
        <v>213</v>
      </c>
      <c r="J175" s="26" t="s">
        <v>212</v>
      </c>
      <c r="K175" s="65" t="s">
        <v>389</v>
      </c>
    </row>
    <row r="176" spans="1:11">
      <c r="A176" s="72" t="str">
        <f t="shared" si="6"/>
        <v>90</v>
      </c>
      <c r="B176" s="27">
        <v>144</v>
      </c>
      <c r="C176" s="31" t="s">
        <v>388</v>
      </c>
      <c r="D176" s="26" t="s">
        <v>361</v>
      </c>
      <c r="E176" s="34" t="s">
        <v>82</v>
      </c>
      <c r="G176" s="72" t="str">
        <f t="shared" si="7"/>
        <v>48</v>
      </c>
      <c r="H176" s="24" t="s">
        <v>812</v>
      </c>
      <c r="I176" s="31" t="s">
        <v>229</v>
      </c>
      <c r="J176" s="26" t="s">
        <v>361</v>
      </c>
      <c r="K176" s="65" t="s">
        <v>389</v>
      </c>
    </row>
    <row r="177" spans="1:11">
      <c r="A177" s="72" t="str">
        <f t="shared" si="6"/>
        <v>94</v>
      </c>
      <c r="B177" s="27">
        <v>148</v>
      </c>
      <c r="C177" s="31" t="s">
        <v>230</v>
      </c>
      <c r="D177" s="26" t="s">
        <v>117</v>
      </c>
      <c r="E177" s="34" t="s">
        <v>82</v>
      </c>
      <c r="G177" s="72" t="str">
        <f t="shared" si="7"/>
        <v>4A</v>
      </c>
      <c r="H177" s="24" t="s">
        <v>181</v>
      </c>
      <c r="I177" s="31" t="s">
        <v>230</v>
      </c>
      <c r="J177" s="26" t="s">
        <v>117</v>
      </c>
      <c r="K177" s="65" t="s">
        <v>389</v>
      </c>
    </row>
    <row r="178" spans="1:11">
      <c r="A178" s="72" t="str">
        <f t="shared" si="6"/>
        <v>98</v>
      </c>
      <c r="B178" s="27">
        <v>152</v>
      </c>
      <c r="C178" s="31" t="s">
        <v>227</v>
      </c>
      <c r="D178" s="26" t="s">
        <v>362</v>
      </c>
      <c r="E178" s="34" t="s">
        <v>82</v>
      </c>
      <c r="G178" s="72" t="str">
        <f t="shared" si="7"/>
        <v>4C</v>
      </c>
      <c r="H178" s="24" t="s">
        <v>813</v>
      </c>
      <c r="I178" s="31" t="s">
        <v>227</v>
      </c>
      <c r="J178" s="26" t="s">
        <v>362</v>
      </c>
      <c r="K178" s="65" t="s">
        <v>389</v>
      </c>
    </row>
    <row r="179" spans="1:11">
      <c r="A179" s="72" t="str">
        <f t="shared" si="6"/>
        <v>9C</v>
      </c>
      <c r="B179" s="27">
        <v>156</v>
      </c>
      <c r="C179" s="25" t="s">
        <v>228</v>
      </c>
      <c r="D179" s="26" t="s">
        <v>205</v>
      </c>
      <c r="E179" s="34" t="s">
        <v>82</v>
      </c>
      <c r="G179" s="72" t="str">
        <f t="shared" si="7"/>
        <v>4E</v>
      </c>
      <c r="H179" s="24" t="s">
        <v>185</v>
      </c>
      <c r="I179" s="25" t="s">
        <v>228</v>
      </c>
      <c r="J179" s="26" t="s">
        <v>205</v>
      </c>
      <c r="K179" s="65" t="s">
        <v>389</v>
      </c>
    </row>
    <row r="180" spans="1:11">
      <c r="A180" s="72" t="str">
        <f t="shared" si="6"/>
        <v>A0</v>
      </c>
      <c r="B180" s="27">
        <v>160</v>
      </c>
      <c r="C180" s="25" t="s">
        <v>166</v>
      </c>
      <c r="D180" s="26" t="s">
        <v>165</v>
      </c>
      <c r="E180" s="34" t="s">
        <v>82</v>
      </c>
      <c r="G180" s="72" t="str">
        <f t="shared" si="7"/>
        <v>50</v>
      </c>
      <c r="H180" s="24" t="s">
        <v>814</v>
      </c>
      <c r="I180" s="25" t="s">
        <v>166</v>
      </c>
      <c r="J180" s="26" t="s">
        <v>165</v>
      </c>
      <c r="K180" s="65" t="s">
        <v>389</v>
      </c>
    </row>
    <row r="181" spans="1:11">
      <c r="A181" s="72" t="str">
        <f t="shared" si="6"/>
        <v>A4</v>
      </c>
      <c r="B181" s="27">
        <v>164</v>
      </c>
      <c r="C181" s="25" t="s">
        <v>139</v>
      </c>
      <c r="D181" s="26" t="s">
        <v>138</v>
      </c>
      <c r="E181" s="34" t="s">
        <v>82</v>
      </c>
      <c r="G181" s="72" t="str">
        <f t="shared" si="7"/>
        <v>52</v>
      </c>
      <c r="H181" s="24" t="s">
        <v>815</v>
      </c>
      <c r="I181" s="25" t="s">
        <v>139</v>
      </c>
      <c r="J181" s="26" t="s">
        <v>138</v>
      </c>
      <c r="K181" s="65" t="s">
        <v>389</v>
      </c>
    </row>
    <row r="182" spans="1:11">
      <c r="A182" s="72" t="str">
        <f t="shared" si="6"/>
        <v>A8</v>
      </c>
      <c r="B182" s="27">
        <v>168</v>
      </c>
      <c r="C182" s="30" t="s">
        <v>171</v>
      </c>
      <c r="D182" s="26" t="s">
        <v>170</v>
      </c>
      <c r="E182" s="34" t="s">
        <v>82</v>
      </c>
      <c r="G182" s="72" t="str">
        <f t="shared" si="7"/>
        <v>54</v>
      </c>
      <c r="H182" s="24" t="s">
        <v>816</v>
      </c>
      <c r="I182" s="30" t="s">
        <v>171</v>
      </c>
      <c r="J182" s="26" t="s">
        <v>170</v>
      </c>
      <c r="K182" s="65" t="s">
        <v>389</v>
      </c>
    </row>
    <row r="183" spans="1:11">
      <c r="A183" s="72" t="str">
        <f t="shared" si="6"/>
        <v>AC</v>
      </c>
      <c r="B183" s="27">
        <v>172</v>
      </c>
      <c r="C183" s="25" t="s">
        <v>111</v>
      </c>
      <c r="D183" s="26" t="s">
        <v>363</v>
      </c>
      <c r="E183" s="34" t="s">
        <v>82</v>
      </c>
      <c r="G183" s="72" t="str">
        <f t="shared" si="7"/>
        <v>56</v>
      </c>
      <c r="H183" s="24" t="s">
        <v>818</v>
      </c>
      <c r="I183" s="25" t="s">
        <v>111</v>
      </c>
      <c r="J183" s="26" t="s">
        <v>363</v>
      </c>
      <c r="K183" s="65" t="s">
        <v>389</v>
      </c>
    </row>
    <row r="184" spans="1:11">
      <c r="A184" s="72" t="str">
        <f t="shared" si="6"/>
        <v>B0</v>
      </c>
      <c r="B184" s="27">
        <v>176</v>
      </c>
      <c r="C184" s="25" t="s">
        <v>161</v>
      </c>
      <c r="D184" s="26" t="s">
        <v>160</v>
      </c>
      <c r="E184" s="34" t="s">
        <v>82</v>
      </c>
      <c r="G184" s="72" t="str">
        <f t="shared" si="7"/>
        <v>58</v>
      </c>
      <c r="H184" s="24" t="s">
        <v>819</v>
      </c>
      <c r="I184" s="25" t="s">
        <v>161</v>
      </c>
      <c r="J184" s="26" t="s">
        <v>160</v>
      </c>
      <c r="K184" s="65" t="s">
        <v>389</v>
      </c>
    </row>
    <row r="185" spans="1:11">
      <c r="A185" s="72" t="str">
        <f t="shared" si="6"/>
        <v>B4</v>
      </c>
      <c r="B185" s="27">
        <v>180</v>
      </c>
      <c r="C185" s="25" t="s">
        <v>189</v>
      </c>
      <c r="D185" s="26" t="s">
        <v>188</v>
      </c>
      <c r="E185" s="34" t="s">
        <v>82</v>
      </c>
      <c r="G185" s="72" t="str">
        <f t="shared" si="7"/>
        <v>5A</v>
      </c>
      <c r="H185" s="24" t="s">
        <v>820</v>
      </c>
      <c r="I185" s="25" t="s">
        <v>189</v>
      </c>
      <c r="J185" s="26" t="s">
        <v>188</v>
      </c>
      <c r="K185" s="65" t="s">
        <v>389</v>
      </c>
    </row>
    <row r="186" spans="1:11">
      <c r="A186" s="72" t="str">
        <f t="shared" si="6"/>
        <v>B8</v>
      </c>
      <c r="B186" s="27">
        <v>184</v>
      </c>
      <c r="C186" s="25" t="s">
        <v>191</v>
      </c>
      <c r="D186" s="26" t="s">
        <v>190</v>
      </c>
      <c r="E186" s="34" t="s">
        <v>82</v>
      </c>
      <c r="G186" s="72" t="str">
        <f t="shared" si="7"/>
        <v>5C</v>
      </c>
      <c r="H186" s="24" t="s">
        <v>821</v>
      </c>
      <c r="I186" s="25" t="s">
        <v>191</v>
      </c>
      <c r="J186" s="26" t="s">
        <v>190</v>
      </c>
      <c r="K186" s="65" t="s">
        <v>389</v>
      </c>
    </row>
    <row r="187" spans="1:11">
      <c r="A187" s="72" t="str">
        <f t="shared" si="6"/>
        <v>BC</v>
      </c>
      <c r="B187" s="27">
        <v>188</v>
      </c>
      <c r="C187" s="25" t="s">
        <v>144</v>
      </c>
      <c r="D187" s="26" t="s">
        <v>143</v>
      </c>
      <c r="E187" s="34" t="s">
        <v>82</v>
      </c>
      <c r="G187" s="72" t="str">
        <f t="shared" si="7"/>
        <v>5E</v>
      </c>
      <c r="H187" s="24" t="s">
        <v>822</v>
      </c>
      <c r="I187" s="25" t="s">
        <v>144</v>
      </c>
      <c r="J187" s="26" t="s">
        <v>143</v>
      </c>
      <c r="K187" s="65" t="s">
        <v>389</v>
      </c>
    </row>
    <row r="188" spans="1:11">
      <c r="A188" s="72" t="str">
        <f t="shared" si="6"/>
        <v>C0</v>
      </c>
      <c r="B188" s="27">
        <v>192</v>
      </c>
      <c r="C188" s="25" t="s">
        <v>193</v>
      </c>
      <c r="D188" s="26" t="s">
        <v>192</v>
      </c>
      <c r="E188" s="34" t="s">
        <v>82</v>
      </c>
      <c r="G188" s="72" t="str">
        <f t="shared" si="7"/>
        <v>60</v>
      </c>
      <c r="H188" s="24" t="s">
        <v>823</v>
      </c>
      <c r="I188" s="25" t="s">
        <v>193</v>
      </c>
      <c r="J188" s="26" t="s">
        <v>192</v>
      </c>
      <c r="K188" s="65" t="s">
        <v>389</v>
      </c>
    </row>
    <row r="189" spans="1:11">
      <c r="A189" s="72" t="str">
        <f t="shared" si="6"/>
        <v>C4</v>
      </c>
      <c r="B189" s="27">
        <v>196</v>
      </c>
      <c r="C189" s="25" t="s">
        <v>107</v>
      </c>
      <c r="D189" s="26" t="s">
        <v>106</v>
      </c>
      <c r="E189" s="34" t="s">
        <v>82</v>
      </c>
      <c r="G189" s="72" t="str">
        <f t="shared" si="7"/>
        <v>62</v>
      </c>
      <c r="H189" s="24" t="s">
        <v>824</v>
      </c>
      <c r="I189" s="25" t="s">
        <v>107</v>
      </c>
      <c r="J189" s="26" t="s">
        <v>106</v>
      </c>
      <c r="K189" s="65" t="s">
        <v>389</v>
      </c>
    </row>
    <row r="190" spans="1:11">
      <c r="A190" s="72" t="str">
        <f t="shared" si="6"/>
        <v>C8</v>
      </c>
      <c r="B190" s="27">
        <v>200</v>
      </c>
      <c r="C190" s="25" t="s">
        <v>224</v>
      </c>
      <c r="D190" s="26" t="s">
        <v>364</v>
      </c>
      <c r="E190" s="34" t="s">
        <v>82</v>
      </c>
      <c r="G190" s="72" t="str">
        <f t="shared" si="7"/>
        <v>64</v>
      </c>
      <c r="H190" s="24" t="s">
        <v>825</v>
      </c>
      <c r="I190" s="25" t="s">
        <v>224</v>
      </c>
      <c r="J190" s="26" t="s">
        <v>364</v>
      </c>
      <c r="K190" s="65" t="s">
        <v>389</v>
      </c>
    </row>
    <row r="191" spans="1:11">
      <c r="A191" s="72" t="str">
        <f t="shared" si="6"/>
        <v>CC</v>
      </c>
      <c r="B191" s="27">
        <v>204</v>
      </c>
      <c r="C191" s="25" t="s">
        <v>216</v>
      </c>
      <c r="D191" s="26" t="s">
        <v>365</v>
      </c>
      <c r="E191" s="34" t="s">
        <v>82</v>
      </c>
      <c r="G191" s="72" t="str">
        <f t="shared" si="7"/>
        <v>66</v>
      </c>
      <c r="H191" s="24" t="s">
        <v>826</v>
      </c>
      <c r="I191" s="25" t="s">
        <v>216</v>
      </c>
      <c r="J191" s="26" t="s">
        <v>365</v>
      </c>
      <c r="K191" s="65" t="s">
        <v>389</v>
      </c>
    </row>
    <row r="192" spans="1:11">
      <c r="A192" s="72" t="str">
        <f t="shared" si="6"/>
        <v>D0</v>
      </c>
      <c r="B192" s="27">
        <v>208</v>
      </c>
      <c r="C192" s="25" t="s">
        <v>225</v>
      </c>
      <c r="D192" s="26" t="s">
        <v>366</v>
      </c>
      <c r="E192" s="34" t="s">
        <v>82</v>
      </c>
      <c r="G192" s="72" t="str">
        <f t="shared" si="7"/>
        <v>68</v>
      </c>
      <c r="H192" s="24" t="s">
        <v>827</v>
      </c>
      <c r="I192" s="25" t="s">
        <v>225</v>
      </c>
      <c r="J192" s="26" t="s">
        <v>366</v>
      </c>
      <c r="K192" s="65" t="s">
        <v>389</v>
      </c>
    </row>
    <row r="193" spans="1:11">
      <c r="A193" s="72" t="str">
        <f t="shared" si="6"/>
        <v>D4</v>
      </c>
      <c r="B193" s="27">
        <v>212</v>
      </c>
      <c r="C193" s="25" t="s">
        <v>215</v>
      </c>
      <c r="D193" s="26" t="s">
        <v>367</v>
      </c>
      <c r="E193" s="34" t="s">
        <v>82</v>
      </c>
      <c r="G193" s="72" t="str">
        <f t="shared" si="7"/>
        <v>6A</v>
      </c>
      <c r="H193" s="24" t="s">
        <v>828</v>
      </c>
      <c r="I193" s="25" t="s">
        <v>215</v>
      </c>
      <c r="J193" s="26" t="s">
        <v>367</v>
      </c>
      <c r="K193" s="65" t="s">
        <v>389</v>
      </c>
    </row>
    <row r="194" spans="1:11">
      <c r="A194" s="72" t="str">
        <f t="shared" si="6"/>
        <v>D8</v>
      </c>
      <c r="B194" s="27">
        <v>216</v>
      </c>
      <c r="C194" s="25" t="s">
        <v>214</v>
      </c>
      <c r="D194" s="26" t="s">
        <v>368</v>
      </c>
      <c r="E194" s="34" t="s">
        <v>82</v>
      </c>
      <c r="G194" s="72" t="str">
        <f t="shared" si="7"/>
        <v>6C</v>
      </c>
      <c r="H194" s="24" t="s">
        <v>829</v>
      </c>
      <c r="I194" s="25" t="s">
        <v>214</v>
      </c>
      <c r="J194" s="26" t="s">
        <v>368</v>
      </c>
      <c r="K194" s="65" t="s">
        <v>389</v>
      </c>
    </row>
    <row r="195" spans="1:11">
      <c r="A195" s="72" t="str">
        <f t="shared" si="6"/>
        <v>DC</v>
      </c>
      <c r="B195" s="27">
        <v>220</v>
      </c>
      <c r="C195" s="25" t="s">
        <v>220</v>
      </c>
      <c r="D195" s="26" t="s">
        <v>369</v>
      </c>
      <c r="E195" s="34" t="s">
        <v>82</v>
      </c>
      <c r="G195" s="72" t="str">
        <f t="shared" si="7"/>
        <v>6E</v>
      </c>
      <c r="H195" s="24" t="s">
        <v>830</v>
      </c>
      <c r="I195" s="25" t="s">
        <v>220</v>
      </c>
      <c r="J195" s="26" t="s">
        <v>369</v>
      </c>
      <c r="K195" s="65" t="s">
        <v>389</v>
      </c>
    </row>
    <row r="196" spans="1:11">
      <c r="A196" s="72" t="str">
        <f t="shared" si="6"/>
        <v>E0</v>
      </c>
      <c r="B196" s="27">
        <v>224</v>
      </c>
      <c r="C196" s="25" t="s">
        <v>218</v>
      </c>
      <c r="D196" s="26" t="s">
        <v>86</v>
      </c>
      <c r="E196" s="34" t="s">
        <v>82</v>
      </c>
      <c r="G196" s="72" t="str">
        <f t="shared" si="7"/>
        <v>70</v>
      </c>
      <c r="H196" s="24" t="s">
        <v>831</v>
      </c>
      <c r="I196" s="25" t="s">
        <v>218</v>
      </c>
      <c r="J196" s="26" t="s">
        <v>86</v>
      </c>
      <c r="K196" s="65" t="s">
        <v>389</v>
      </c>
    </row>
    <row r="197" spans="1:11">
      <c r="A197" s="72" t="str">
        <f t="shared" si="6"/>
        <v>E4</v>
      </c>
      <c r="B197" s="27">
        <v>228</v>
      </c>
      <c r="C197" s="25" t="s">
        <v>222</v>
      </c>
      <c r="D197" s="26" t="s">
        <v>200</v>
      </c>
      <c r="E197" s="34" t="s">
        <v>82</v>
      </c>
      <c r="G197" s="72" t="str">
        <f t="shared" si="7"/>
        <v>72</v>
      </c>
      <c r="H197" s="24" t="s">
        <v>832</v>
      </c>
      <c r="I197" s="25" t="s">
        <v>222</v>
      </c>
      <c r="J197" s="26" t="s">
        <v>200</v>
      </c>
      <c r="K197" s="65" t="s">
        <v>389</v>
      </c>
    </row>
    <row r="198" spans="1:11">
      <c r="A198" s="72" t="str">
        <f t="shared" si="6"/>
        <v>E8</v>
      </c>
      <c r="B198" s="27">
        <v>232</v>
      </c>
      <c r="C198" s="25" t="s">
        <v>219</v>
      </c>
      <c r="D198" s="26" t="s">
        <v>83</v>
      </c>
      <c r="E198" s="34" t="s">
        <v>82</v>
      </c>
      <c r="G198" s="72" t="str">
        <f t="shared" si="7"/>
        <v>74</v>
      </c>
      <c r="H198" s="24" t="s">
        <v>833</v>
      </c>
      <c r="I198" s="25" t="s">
        <v>219</v>
      </c>
      <c r="J198" s="26" t="s">
        <v>83</v>
      </c>
      <c r="K198" s="65" t="s">
        <v>389</v>
      </c>
    </row>
    <row r="199" spans="1:11">
      <c r="A199" s="72" t="str">
        <f t="shared" si="6"/>
        <v>EC</v>
      </c>
      <c r="B199" s="27">
        <v>236</v>
      </c>
      <c r="C199" s="25" t="s">
        <v>221</v>
      </c>
      <c r="D199" s="26" t="s">
        <v>194</v>
      </c>
      <c r="E199" s="34" t="s">
        <v>82</v>
      </c>
      <c r="G199" s="72" t="str">
        <f t="shared" si="7"/>
        <v>76</v>
      </c>
      <c r="H199" s="24" t="s">
        <v>834</v>
      </c>
      <c r="I199" s="25" t="s">
        <v>221</v>
      </c>
      <c r="J199" s="26" t="s">
        <v>194</v>
      </c>
      <c r="K199" s="65" t="s">
        <v>389</v>
      </c>
    </row>
    <row r="200" spans="1:11">
      <c r="A200" s="72" t="str">
        <f t="shared" si="6"/>
        <v>F0</v>
      </c>
      <c r="B200" s="27">
        <v>240</v>
      </c>
      <c r="C200" s="30" t="s">
        <v>341</v>
      </c>
      <c r="D200" s="26" t="s">
        <v>370</v>
      </c>
      <c r="E200" s="34" t="s">
        <v>82</v>
      </c>
      <c r="G200" s="72" t="str">
        <f t="shared" si="7"/>
        <v>78</v>
      </c>
      <c r="H200" s="24" t="s">
        <v>835</v>
      </c>
      <c r="I200" s="30" t="s">
        <v>341</v>
      </c>
      <c r="J200" s="26" t="s">
        <v>370</v>
      </c>
      <c r="K200" s="65" t="s">
        <v>389</v>
      </c>
    </row>
    <row r="201" spans="1:11">
      <c r="A201" s="72" t="str">
        <f t="shared" si="6"/>
        <v>F4</v>
      </c>
      <c r="B201" s="27">
        <v>244</v>
      </c>
      <c r="C201" s="30" t="s">
        <v>342</v>
      </c>
      <c r="D201" s="26" t="s">
        <v>371</v>
      </c>
      <c r="E201" s="34" t="s">
        <v>82</v>
      </c>
      <c r="G201" s="72" t="str">
        <f t="shared" si="7"/>
        <v>7A</v>
      </c>
      <c r="H201" s="24" t="s">
        <v>836</v>
      </c>
      <c r="I201" s="30" t="s">
        <v>342</v>
      </c>
      <c r="J201" s="26" t="s">
        <v>371</v>
      </c>
      <c r="K201" s="65" t="s">
        <v>389</v>
      </c>
    </row>
    <row r="202" spans="1:11">
      <c r="A202" s="72" t="str">
        <f t="shared" si="6"/>
        <v>F8</v>
      </c>
      <c r="B202" s="27">
        <v>248</v>
      </c>
      <c r="C202" s="31" t="s">
        <v>209</v>
      </c>
      <c r="D202" s="26" t="s">
        <v>372</v>
      </c>
      <c r="E202" s="34" t="s">
        <v>82</v>
      </c>
      <c r="F202" s="71"/>
      <c r="G202" s="72" t="str">
        <f t="shared" si="7"/>
        <v>7C</v>
      </c>
      <c r="H202" s="24" t="s">
        <v>837</v>
      </c>
      <c r="I202" s="31" t="s">
        <v>209</v>
      </c>
      <c r="J202" s="26" t="s">
        <v>372</v>
      </c>
      <c r="K202" s="65" t="s">
        <v>389</v>
      </c>
    </row>
  </sheetData>
  <mergeCells count="6">
    <mergeCell ref="A138:E138"/>
    <mergeCell ref="G138:K138"/>
    <mergeCell ref="A1:E1"/>
    <mergeCell ref="G1:K1"/>
    <mergeCell ref="A69:E69"/>
    <mergeCell ref="G69:K69"/>
  </mergeCells>
  <phoneticPr fontId="3" type="noConversion"/>
  <conditionalFormatting sqref="C3:C31 C35:C65">
    <cfRule type="duplicateValues" dxfId="59" priority="12"/>
  </conditionalFormatting>
  <conditionalFormatting sqref="C32:C34">
    <cfRule type="duplicateValues" dxfId="58" priority="11"/>
  </conditionalFormatting>
  <conditionalFormatting sqref="C89:C91">
    <cfRule type="duplicateValues" dxfId="57" priority="6"/>
  </conditionalFormatting>
  <conditionalFormatting sqref="C100:C102">
    <cfRule type="duplicateValues" dxfId="56" priority="5"/>
  </conditionalFormatting>
  <conditionalFormatting sqref="C158:C160">
    <cfRule type="duplicateValues" dxfId="55" priority="4"/>
  </conditionalFormatting>
  <conditionalFormatting sqref="C169:C171">
    <cfRule type="duplicateValues" dxfId="54" priority="3"/>
  </conditionalFormatting>
  <conditionalFormatting sqref="I21:I23">
    <cfRule type="duplicateValues" dxfId="53" priority="10"/>
  </conditionalFormatting>
  <conditionalFormatting sqref="I32:I34">
    <cfRule type="duplicateValues" dxfId="52" priority="9"/>
  </conditionalFormatting>
  <conditionalFormatting sqref="I89:I91">
    <cfRule type="duplicateValues" dxfId="51" priority="8"/>
  </conditionalFormatting>
  <conditionalFormatting sqref="I100:I102">
    <cfRule type="duplicateValues" dxfId="50" priority="7"/>
  </conditionalFormatting>
  <conditionalFormatting sqref="I158:I160">
    <cfRule type="duplicateValues" dxfId="49" priority="2"/>
  </conditionalFormatting>
  <conditionalFormatting sqref="I169:I171">
    <cfRule type="duplicateValues" dxfId="48" priority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0E255-FCE3-42FA-8ACD-3BFB9C83E6F1}">
  <sheetPr>
    <tabColor rgb="FFFFC000"/>
  </sheetPr>
  <dimension ref="A1:J45"/>
  <sheetViews>
    <sheetView zoomScale="70" zoomScaleNormal="70" workbookViewId="0">
      <pane ySplit="1" topLeftCell="A2" activePane="bottomLeft" state="frozen"/>
      <selection activeCell="A55" sqref="A55:D56"/>
      <selection pane="bottomLeft" activeCell="H23" sqref="H23"/>
    </sheetView>
  </sheetViews>
  <sheetFormatPr defaultColWidth="8.88671875" defaultRowHeight="13.8"/>
  <cols>
    <col min="1" max="1" width="11" style="42" bestFit="1" customWidth="1"/>
    <col min="2" max="2" width="11.109375" style="42" bestFit="1" customWidth="1"/>
    <col min="3" max="3" width="30" style="42" bestFit="1" customWidth="1"/>
    <col min="4" max="4" width="30" style="42" customWidth="1"/>
    <col min="5" max="5" width="5.33203125" style="41" customWidth="1"/>
    <col min="6" max="6" width="11.33203125" style="42" bestFit="1" customWidth="1"/>
    <col min="7" max="7" width="11.21875" style="42" bestFit="1" customWidth="1"/>
    <col min="8" max="8" width="30.21875" style="42" customWidth="1"/>
    <col min="9" max="9" width="13.21875" style="42" customWidth="1"/>
    <col min="10" max="10" width="23.77734375" style="42" hidden="1" customWidth="1"/>
    <col min="11" max="16384" width="8.88671875" style="42"/>
  </cols>
  <sheetData>
    <row r="1" spans="1:10" ht="26.4" customHeight="1">
      <c r="A1" s="370" t="s">
        <v>249</v>
      </c>
      <c r="B1" s="371"/>
      <c r="C1" s="371"/>
      <c r="D1" s="371"/>
      <c r="F1" s="370" t="s">
        <v>250</v>
      </c>
      <c r="G1" s="371"/>
      <c r="H1" s="371"/>
      <c r="I1" s="371"/>
      <c r="J1" s="371"/>
    </row>
    <row r="2" spans="1:10">
      <c r="A2" s="17" t="s">
        <v>74</v>
      </c>
      <c r="B2" s="18" t="s">
        <v>75</v>
      </c>
      <c r="C2" s="19" t="s">
        <v>79</v>
      </c>
      <c r="D2" s="20" t="s">
        <v>77</v>
      </c>
      <c r="F2" s="17" t="s">
        <v>74</v>
      </c>
      <c r="G2" s="18" t="s">
        <v>75</v>
      </c>
      <c r="H2" s="19" t="s">
        <v>79</v>
      </c>
      <c r="I2" s="20" t="s">
        <v>77</v>
      </c>
      <c r="J2" s="20" t="s">
        <v>78</v>
      </c>
    </row>
    <row r="3" spans="1:10">
      <c r="A3" s="72" t="str">
        <f t="shared" ref="A3:A28" si="0">DEC2HEX(B3)</f>
        <v>0</v>
      </c>
      <c r="B3" s="73" t="s">
        <v>890</v>
      </c>
      <c r="C3" s="43" t="s">
        <v>172</v>
      </c>
      <c r="D3" s="44" t="s">
        <v>173</v>
      </c>
      <c r="F3" s="72" t="str">
        <f t="shared" ref="F3:F28" si="1">DEC2HEX(G3)</f>
        <v>0</v>
      </c>
      <c r="G3" s="73" t="s">
        <v>890</v>
      </c>
      <c r="H3" s="43" t="s">
        <v>172</v>
      </c>
      <c r="I3" s="44" t="s">
        <v>173</v>
      </c>
      <c r="J3" s="26"/>
    </row>
    <row r="4" spans="1:10">
      <c r="A4" s="72" t="str">
        <f t="shared" si="0"/>
        <v>4</v>
      </c>
      <c r="B4" s="73" t="s">
        <v>893</v>
      </c>
      <c r="C4" s="43" t="s">
        <v>90</v>
      </c>
      <c r="D4" s="44" t="s">
        <v>91</v>
      </c>
      <c r="F4" s="72" t="str">
        <f t="shared" si="1"/>
        <v>4</v>
      </c>
      <c r="G4" s="73" t="s">
        <v>893</v>
      </c>
      <c r="H4" s="43" t="s">
        <v>90</v>
      </c>
      <c r="I4" s="44" t="s">
        <v>91</v>
      </c>
      <c r="J4" s="26"/>
    </row>
    <row r="5" spans="1:10">
      <c r="A5" s="72" t="str">
        <f t="shared" si="0"/>
        <v>8</v>
      </c>
      <c r="B5" s="73" t="s">
        <v>252</v>
      </c>
      <c r="C5" s="43" t="s">
        <v>108</v>
      </c>
      <c r="D5" s="44" t="s">
        <v>109</v>
      </c>
      <c r="F5" s="72" t="str">
        <f t="shared" si="1"/>
        <v>8</v>
      </c>
      <c r="G5" s="73" t="s">
        <v>252</v>
      </c>
      <c r="H5" s="43" t="s">
        <v>108</v>
      </c>
      <c r="I5" s="44" t="s">
        <v>109</v>
      </c>
      <c r="J5" s="26"/>
    </row>
    <row r="6" spans="1:10">
      <c r="A6" s="72" t="str">
        <f t="shared" si="0"/>
        <v>C</v>
      </c>
      <c r="B6" s="73" t="s">
        <v>253</v>
      </c>
      <c r="C6" s="43" t="s">
        <v>182</v>
      </c>
      <c r="D6" s="44" t="s">
        <v>183</v>
      </c>
      <c r="F6" s="72" t="str">
        <f t="shared" si="1"/>
        <v>C</v>
      </c>
      <c r="G6" s="73" t="s">
        <v>253</v>
      </c>
      <c r="H6" s="43" t="s">
        <v>182</v>
      </c>
      <c r="I6" s="44" t="s">
        <v>183</v>
      </c>
      <c r="J6" s="26"/>
    </row>
    <row r="7" spans="1:10">
      <c r="A7" s="72" t="str">
        <f t="shared" si="0"/>
        <v>10</v>
      </c>
      <c r="B7" s="73" t="s">
        <v>254</v>
      </c>
      <c r="C7" s="43" t="s">
        <v>838</v>
      </c>
      <c r="D7" s="44" t="s">
        <v>187</v>
      </c>
      <c r="F7" s="72" t="str">
        <f t="shared" si="1"/>
        <v>10</v>
      </c>
      <c r="G7" s="73" t="s">
        <v>254</v>
      </c>
      <c r="H7" s="43" t="s">
        <v>186</v>
      </c>
      <c r="I7" s="44" t="s">
        <v>187</v>
      </c>
      <c r="J7" s="26"/>
    </row>
    <row r="8" spans="1:10">
      <c r="A8" s="72" t="str">
        <f t="shared" si="0"/>
        <v>14</v>
      </c>
      <c r="B8" s="73" t="s">
        <v>98</v>
      </c>
      <c r="C8" s="43" t="s">
        <v>93</v>
      </c>
      <c r="D8" s="44" t="s">
        <v>94</v>
      </c>
      <c r="F8" s="72" t="str">
        <f t="shared" si="1"/>
        <v>14</v>
      </c>
      <c r="G8" s="73" t="s">
        <v>98</v>
      </c>
      <c r="H8" s="43" t="s">
        <v>93</v>
      </c>
      <c r="I8" s="44" t="s">
        <v>94</v>
      </c>
      <c r="J8" s="26"/>
    </row>
    <row r="9" spans="1:10">
      <c r="A9" s="72" t="str">
        <f t="shared" si="0"/>
        <v>18</v>
      </c>
      <c r="B9" s="73" t="s">
        <v>102</v>
      </c>
      <c r="C9" s="43" t="s">
        <v>87</v>
      </c>
      <c r="D9" s="44" t="s">
        <v>88</v>
      </c>
      <c r="F9" s="72" t="str">
        <f t="shared" si="1"/>
        <v>18</v>
      </c>
      <c r="G9" s="73" t="s">
        <v>102</v>
      </c>
      <c r="H9" s="43" t="s">
        <v>87</v>
      </c>
      <c r="I9" s="44" t="s">
        <v>88</v>
      </c>
      <c r="J9" s="26"/>
    </row>
    <row r="10" spans="1:10">
      <c r="A10" s="72" t="str">
        <f t="shared" si="0"/>
        <v>1C</v>
      </c>
      <c r="B10" s="73" t="s">
        <v>103</v>
      </c>
      <c r="C10" s="43" t="s">
        <v>163</v>
      </c>
      <c r="D10" s="44" t="s">
        <v>164</v>
      </c>
      <c r="F10" s="72" t="str">
        <f t="shared" si="1"/>
        <v>1C</v>
      </c>
      <c r="G10" s="73" t="s">
        <v>103</v>
      </c>
      <c r="H10" s="43" t="s">
        <v>163</v>
      </c>
      <c r="I10" s="44" t="s">
        <v>164</v>
      </c>
      <c r="J10" s="26"/>
    </row>
    <row r="11" spans="1:10">
      <c r="A11" s="72" t="str">
        <f t="shared" si="0"/>
        <v>20</v>
      </c>
      <c r="B11" s="73" t="s">
        <v>804</v>
      </c>
      <c r="C11" s="43" t="s">
        <v>126</v>
      </c>
      <c r="D11" s="44" t="s">
        <v>127</v>
      </c>
      <c r="F11" s="72" t="str">
        <f t="shared" si="1"/>
        <v>20</v>
      </c>
      <c r="G11" s="73" t="s">
        <v>804</v>
      </c>
      <c r="H11" s="43" t="s">
        <v>126</v>
      </c>
      <c r="I11" s="44" t="s">
        <v>127</v>
      </c>
      <c r="J11" s="26"/>
    </row>
    <row r="12" spans="1:10">
      <c r="A12" s="72" t="str">
        <f t="shared" si="0"/>
        <v>24</v>
      </c>
      <c r="B12" s="73" t="s">
        <v>805</v>
      </c>
      <c r="C12" s="46" t="s">
        <v>177</v>
      </c>
      <c r="D12" s="44" t="s">
        <v>178</v>
      </c>
      <c r="F12" s="72" t="str">
        <f t="shared" si="1"/>
        <v>24</v>
      </c>
      <c r="G12" s="73" t="s">
        <v>805</v>
      </c>
      <c r="H12" s="46" t="s">
        <v>177</v>
      </c>
      <c r="I12" s="44" t="s">
        <v>178</v>
      </c>
      <c r="J12" s="26"/>
    </row>
    <row r="13" spans="1:10">
      <c r="A13" s="72" t="str">
        <f t="shared" si="0"/>
        <v>28</v>
      </c>
      <c r="B13" s="73" t="s">
        <v>125</v>
      </c>
      <c r="C13" s="43" t="s">
        <v>132</v>
      </c>
      <c r="D13" s="44" t="s">
        <v>133</v>
      </c>
      <c r="F13" s="72" t="str">
        <f t="shared" si="1"/>
        <v>28</v>
      </c>
      <c r="G13" s="73" t="s">
        <v>125</v>
      </c>
      <c r="H13" s="43" t="s">
        <v>132</v>
      </c>
      <c r="I13" s="44" t="s">
        <v>133</v>
      </c>
      <c r="J13" s="26"/>
    </row>
    <row r="14" spans="1:10">
      <c r="A14" s="72" t="str">
        <f t="shared" si="0"/>
        <v>2C</v>
      </c>
      <c r="B14" s="73" t="s">
        <v>129</v>
      </c>
      <c r="C14" s="43" t="s">
        <v>158</v>
      </c>
      <c r="D14" s="44" t="s">
        <v>159</v>
      </c>
      <c r="F14" s="72" t="str">
        <f t="shared" si="1"/>
        <v>2C</v>
      </c>
      <c r="G14" s="73" t="s">
        <v>129</v>
      </c>
      <c r="H14" s="43" t="s">
        <v>158</v>
      </c>
      <c r="I14" s="44" t="s">
        <v>159</v>
      </c>
      <c r="J14" s="26"/>
    </row>
    <row r="15" spans="1:10">
      <c r="A15" s="72" t="str">
        <f t="shared" si="0"/>
        <v>30</v>
      </c>
      <c r="B15" s="73" t="s">
        <v>131</v>
      </c>
      <c r="C15" s="43" t="s">
        <v>119</v>
      </c>
      <c r="D15" s="44" t="s">
        <v>120</v>
      </c>
      <c r="F15" s="72" t="str">
        <f t="shared" si="1"/>
        <v>30</v>
      </c>
      <c r="G15" s="73" t="s">
        <v>131</v>
      </c>
      <c r="H15" s="43" t="s">
        <v>119</v>
      </c>
      <c r="I15" s="44" t="s">
        <v>120</v>
      </c>
      <c r="J15" s="26"/>
    </row>
    <row r="16" spans="1:10">
      <c r="A16" s="72" t="str">
        <f t="shared" si="0"/>
        <v>34</v>
      </c>
      <c r="B16" s="73" t="s">
        <v>808</v>
      </c>
      <c r="C16" s="43" t="s">
        <v>141</v>
      </c>
      <c r="D16" s="44" t="s">
        <v>142</v>
      </c>
      <c r="F16" s="72" t="str">
        <f t="shared" si="1"/>
        <v>34</v>
      </c>
      <c r="G16" s="73" t="s">
        <v>808</v>
      </c>
      <c r="H16" s="43" t="s">
        <v>141</v>
      </c>
      <c r="I16" s="44" t="s">
        <v>142</v>
      </c>
      <c r="J16" s="26"/>
    </row>
    <row r="17" spans="1:10">
      <c r="A17" s="72" t="str">
        <f t="shared" si="0"/>
        <v>38</v>
      </c>
      <c r="B17" s="73" t="s">
        <v>809</v>
      </c>
      <c r="C17" s="43" t="s">
        <v>146</v>
      </c>
      <c r="D17" s="44" t="s">
        <v>147</v>
      </c>
      <c r="F17" s="72" t="str">
        <f t="shared" si="1"/>
        <v>38</v>
      </c>
      <c r="G17" s="73" t="s">
        <v>809</v>
      </c>
      <c r="H17" s="43" t="s">
        <v>146</v>
      </c>
      <c r="I17" s="44" t="s">
        <v>147</v>
      </c>
      <c r="J17" s="26"/>
    </row>
    <row r="18" spans="1:10">
      <c r="A18" s="72" t="str">
        <f t="shared" si="0"/>
        <v>3C</v>
      </c>
      <c r="B18" s="73" t="s">
        <v>157</v>
      </c>
      <c r="C18" s="43" t="s">
        <v>151</v>
      </c>
      <c r="D18" s="43" t="s">
        <v>113</v>
      </c>
      <c r="F18" s="72" t="str">
        <f t="shared" si="1"/>
        <v>3C</v>
      </c>
      <c r="G18" s="73" t="s">
        <v>157</v>
      </c>
      <c r="H18" s="43" t="s">
        <v>151</v>
      </c>
      <c r="I18" s="43" t="s">
        <v>113</v>
      </c>
      <c r="J18" s="47"/>
    </row>
    <row r="19" spans="1:10">
      <c r="A19" s="72" t="str">
        <f t="shared" si="0"/>
        <v>40</v>
      </c>
      <c r="B19" s="73" t="s">
        <v>162</v>
      </c>
      <c r="C19" s="43" t="s">
        <v>123</v>
      </c>
      <c r="D19" s="43" t="s">
        <v>124</v>
      </c>
      <c r="F19" s="72" t="str">
        <f t="shared" si="1"/>
        <v>40</v>
      </c>
      <c r="G19" s="73" t="s">
        <v>162</v>
      </c>
      <c r="H19" s="43" t="s">
        <v>123</v>
      </c>
      <c r="I19" s="43" t="s">
        <v>124</v>
      </c>
      <c r="J19" s="47"/>
    </row>
    <row r="20" spans="1:10">
      <c r="A20" s="72" t="str">
        <f t="shared" si="0"/>
        <v>44</v>
      </c>
      <c r="B20" s="73" t="s">
        <v>167</v>
      </c>
      <c r="C20" s="43" t="s">
        <v>99</v>
      </c>
      <c r="D20" s="43" t="s">
        <v>100</v>
      </c>
      <c r="F20" s="72" t="str">
        <f t="shared" si="1"/>
        <v>44</v>
      </c>
      <c r="G20" s="73" t="s">
        <v>167</v>
      </c>
      <c r="H20" s="43" t="s">
        <v>99</v>
      </c>
      <c r="I20" s="43" t="s">
        <v>100</v>
      </c>
      <c r="J20" s="47"/>
    </row>
    <row r="21" spans="1:10">
      <c r="A21" s="72" t="str">
        <f t="shared" si="0"/>
        <v>48</v>
      </c>
      <c r="B21" s="73" t="s">
        <v>812</v>
      </c>
      <c r="C21" s="43" t="s">
        <v>136</v>
      </c>
      <c r="D21" s="43" t="s">
        <v>137</v>
      </c>
      <c r="F21" s="72" t="str">
        <f t="shared" si="1"/>
        <v>48</v>
      </c>
      <c r="G21" s="73" t="s">
        <v>812</v>
      </c>
      <c r="H21" s="43" t="s">
        <v>136</v>
      </c>
      <c r="I21" s="43" t="s">
        <v>137</v>
      </c>
      <c r="J21" s="47"/>
    </row>
    <row r="22" spans="1:10">
      <c r="A22" s="72" t="str">
        <f t="shared" si="0"/>
        <v>4C</v>
      </c>
      <c r="B22" s="73" t="s">
        <v>813</v>
      </c>
      <c r="C22" s="43" t="s">
        <v>80</v>
      </c>
      <c r="D22" s="43" t="s">
        <v>81</v>
      </c>
      <c r="F22" s="72" t="str">
        <f t="shared" si="1"/>
        <v>4C</v>
      </c>
      <c r="G22" s="73" t="s">
        <v>813</v>
      </c>
      <c r="H22" s="43" t="s">
        <v>80</v>
      </c>
      <c r="I22" s="43" t="s">
        <v>81</v>
      </c>
      <c r="J22" s="47"/>
    </row>
    <row r="23" spans="1:10">
      <c r="A23" s="72" t="str">
        <f t="shared" si="0"/>
        <v>50</v>
      </c>
      <c r="B23" s="73" t="s">
        <v>814</v>
      </c>
      <c r="C23" s="46" t="s">
        <v>84</v>
      </c>
      <c r="D23" s="46" t="s">
        <v>85</v>
      </c>
      <c r="F23" s="72" t="str">
        <f t="shared" si="1"/>
        <v>50</v>
      </c>
      <c r="G23" s="73" t="s">
        <v>814</v>
      </c>
      <c r="H23" s="46" t="s">
        <v>84</v>
      </c>
      <c r="I23" s="46" t="s">
        <v>85</v>
      </c>
      <c r="J23" s="47"/>
    </row>
    <row r="24" spans="1:10">
      <c r="A24" s="72" t="str">
        <f t="shared" si="0"/>
        <v>54</v>
      </c>
      <c r="B24" s="73" t="s">
        <v>816</v>
      </c>
      <c r="C24" s="43" t="s">
        <v>96</v>
      </c>
      <c r="D24" s="43" t="s">
        <v>97</v>
      </c>
      <c r="F24" s="72" t="str">
        <f t="shared" si="1"/>
        <v>54</v>
      </c>
      <c r="G24" s="73" t="s">
        <v>816</v>
      </c>
      <c r="H24" s="43" t="s">
        <v>96</v>
      </c>
      <c r="I24" s="43" t="s">
        <v>97</v>
      </c>
      <c r="J24" s="47"/>
    </row>
    <row r="25" spans="1:10">
      <c r="A25" s="72" t="str">
        <f t="shared" si="0"/>
        <v>58</v>
      </c>
      <c r="B25" s="73" t="s">
        <v>819</v>
      </c>
      <c r="C25" s="43" t="s">
        <v>153</v>
      </c>
      <c r="D25" s="43" t="s">
        <v>154</v>
      </c>
      <c r="F25" s="72" t="str">
        <f t="shared" si="1"/>
        <v>58</v>
      </c>
      <c r="G25" s="73" t="s">
        <v>819</v>
      </c>
      <c r="H25" s="43" t="s">
        <v>153</v>
      </c>
      <c r="I25" s="43" t="s">
        <v>154</v>
      </c>
      <c r="J25" s="47"/>
    </row>
    <row r="26" spans="1:10">
      <c r="A26" s="72" t="str">
        <f t="shared" si="0"/>
        <v>5C</v>
      </c>
      <c r="B26" s="73" t="s">
        <v>821</v>
      </c>
      <c r="C26" s="43" t="s">
        <v>168</v>
      </c>
      <c r="D26" s="43" t="s">
        <v>169</v>
      </c>
      <c r="F26" s="72" t="str">
        <f t="shared" si="1"/>
        <v>5C</v>
      </c>
      <c r="G26" s="73" t="s">
        <v>821</v>
      </c>
      <c r="H26" s="43" t="s">
        <v>168</v>
      </c>
      <c r="I26" s="43" t="s">
        <v>169</v>
      </c>
      <c r="J26" s="47"/>
    </row>
    <row r="27" spans="1:10">
      <c r="A27" s="72" t="str">
        <f t="shared" si="0"/>
        <v>60</v>
      </c>
      <c r="B27" s="73" t="s">
        <v>823</v>
      </c>
      <c r="C27" s="43" t="s">
        <v>104</v>
      </c>
      <c r="D27" s="43" t="s">
        <v>105</v>
      </c>
      <c r="F27" s="72" t="str">
        <f t="shared" si="1"/>
        <v>60</v>
      </c>
      <c r="G27" s="73" t="s">
        <v>823</v>
      </c>
      <c r="H27" s="43" t="s">
        <v>104</v>
      </c>
      <c r="I27" s="43" t="s">
        <v>105</v>
      </c>
      <c r="J27" s="47"/>
    </row>
    <row r="28" spans="1:10">
      <c r="A28" s="72" t="str">
        <f t="shared" si="0"/>
        <v>64</v>
      </c>
      <c r="B28" s="73" t="s">
        <v>825</v>
      </c>
      <c r="C28" s="43" t="s">
        <v>115</v>
      </c>
      <c r="D28" s="43" t="s">
        <v>116</v>
      </c>
      <c r="F28" s="72" t="str">
        <f t="shared" si="1"/>
        <v>64</v>
      </c>
      <c r="G28" s="73" t="s">
        <v>825</v>
      </c>
      <c r="H28" s="43" t="s">
        <v>115</v>
      </c>
      <c r="I28" s="43" t="s">
        <v>116</v>
      </c>
      <c r="J28" s="47"/>
    </row>
    <row r="29" spans="1:10">
      <c r="A29" s="37"/>
      <c r="B29" s="37"/>
    </row>
    <row r="30" spans="1:10" ht="15">
      <c r="A30" s="37"/>
      <c r="B30" s="37"/>
      <c r="C30" s="48"/>
      <c r="D30" s="48"/>
    </row>
    <row r="31" spans="1:10" ht="15">
      <c r="A31" s="37"/>
      <c r="B31" s="37"/>
      <c r="C31" s="48"/>
      <c r="D31" s="48"/>
    </row>
    <row r="32" spans="1:10" ht="15">
      <c r="A32" s="37"/>
      <c r="B32" s="37"/>
      <c r="C32" s="48"/>
      <c r="D32" s="48"/>
    </row>
    <row r="33" spans="1:4" ht="15">
      <c r="A33" s="37"/>
      <c r="B33" s="37"/>
      <c r="C33" s="48"/>
      <c r="D33" s="48"/>
    </row>
    <row r="34" spans="1:4" ht="15">
      <c r="A34" s="37"/>
      <c r="B34" s="37"/>
      <c r="C34" s="49"/>
      <c r="D34" s="49"/>
    </row>
    <row r="35" spans="1:4" ht="15">
      <c r="A35" s="37"/>
      <c r="B35" s="37"/>
      <c r="C35" s="48"/>
      <c r="D35" s="48"/>
    </row>
    <row r="36" spans="1:4" ht="15">
      <c r="A36" s="37"/>
      <c r="B36" s="37"/>
      <c r="C36" s="50"/>
      <c r="D36" s="50"/>
    </row>
    <row r="37" spans="1:4">
      <c r="A37" s="37"/>
      <c r="B37" s="37"/>
    </row>
    <row r="38" spans="1:4">
      <c r="A38" s="37"/>
      <c r="B38" s="37"/>
    </row>
    <row r="39" spans="1:4">
      <c r="A39" s="37"/>
      <c r="B39" s="37"/>
    </row>
    <row r="40" spans="1:4">
      <c r="A40" s="37"/>
      <c r="B40" s="37"/>
    </row>
    <row r="41" spans="1:4">
      <c r="A41" s="37"/>
      <c r="B41" s="37"/>
    </row>
    <row r="42" spans="1:4">
      <c r="A42" s="37"/>
      <c r="B42" s="37"/>
    </row>
    <row r="43" spans="1:4">
      <c r="A43" s="37"/>
      <c r="B43" s="37"/>
    </row>
    <row r="44" spans="1:4">
      <c r="A44" s="37"/>
      <c r="B44" s="37"/>
    </row>
    <row r="45" spans="1:4">
      <c r="A45" s="37"/>
      <c r="B45" s="37"/>
    </row>
  </sheetData>
  <mergeCells count="2">
    <mergeCell ref="F1:J1"/>
    <mergeCell ref="A1:D1"/>
  </mergeCells>
  <phoneticPr fontId="3" type="noConversion"/>
  <conditionalFormatting sqref="C3">
    <cfRule type="duplicateValues" dxfId="47" priority="44"/>
  </conditionalFormatting>
  <conditionalFormatting sqref="C4">
    <cfRule type="duplicateValues" dxfId="46" priority="22"/>
    <cfRule type="duplicateValues" dxfId="45" priority="23"/>
    <cfRule type="duplicateValues" dxfId="44" priority="24"/>
  </conditionalFormatting>
  <conditionalFormatting sqref="C5:C9">
    <cfRule type="duplicateValues" dxfId="43" priority="46"/>
  </conditionalFormatting>
  <conditionalFormatting sqref="C10">
    <cfRule type="duplicateValues" dxfId="42" priority="42"/>
  </conditionalFormatting>
  <conditionalFormatting sqref="C11">
    <cfRule type="duplicateValues" dxfId="41" priority="41"/>
  </conditionalFormatting>
  <conditionalFormatting sqref="C12">
    <cfRule type="duplicateValues" dxfId="40" priority="40"/>
  </conditionalFormatting>
  <conditionalFormatting sqref="C13">
    <cfRule type="duplicateValues" dxfId="39" priority="43"/>
  </conditionalFormatting>
  <conditionalFormatting sqref="C14:C17">
    <cfRule type="duplicateValues" dxfId="38" priority="39"/>
  </conditionalFormatting>
  <conditionalFormatting sqref="C18:D20">
    <cfRule type="duplicateValues" dxfId="37" priority="67"/>
  </conditionalFormatting>
  <conditionalFormatting sqref="C18:D28 C3 C5:C17">
    <cfRule type="duplicateValues" dxfId="36" priority="93"/>
    <cfRule type="duplicateValues" dxfId="35" priority="92"/>
  </conditionalFormatting>
  <conditionalFormatting sqref="C21:D21">
    <cfRule type="duplicateValues" dxfId="34" priority="68"/>
  </conditionalFormatting>
  <conditionalFormatting sqref="C22:D22">
    <cfRule type="duplicateValues" dxfId="33" priority="69"/>
  </conditionalFormatting>
  <conditionalFormatting sqref="C23:D23">
    <cfRule type="duplicateValues" dxfId="32" priority="70"/>
  </conditionalFormatting>
  <conditionalFormatting sqref="C24:D27">
    <cfRule type="duplicateValues" dxfId="31" priority="90"/>
  </conditionalFormatting>
  <conditionalFormatting sqref="C28:D28">
    <cfRule type="duplicateValues" dxfId="30" priority="72"/>
  </conditionalFormatting>
  <conditionalFormatting sqref="C30:D32">
    <cfRule type="duplicateValues" dxfId="29" priority="74"/>
    <cfRule type="duplicateValues" dxfId="28" priority="73"/>
  </conditionalFormatting>
  <conditionalFormatting sqref="C33:D33">
    <cfRule type="duplicateValues" dxfId="27" priority="75"/>
  </conditionalFormatting>
  <conditionalFormatting sqref="C34:D34">
    <cfRule type="duplicateValues" dxfId="26" priority="76"/>
  </conditionalFormatting>
  <conditionalFormatting sqref="C35:D35">
    <cfRule type="duplicateValues" dxfId="25" priority="77"/>
  </conditionalFormatting>
  <conditionalFormatting sqref="C36:D36">
    <cfRule type="duplicateValues" dxfId="24" priority="78"/>
    <cfRule type="duplicateValues" dxfId="23" priority="79"/>
  </conditionalFormatting>
  <conditionalFormatting sqref="H3">
    <cfRule type="duplicateValues" dxfId="22" priority="15"/>
  </conditionalFormatting>
  <conditionalFormatting sqref="H4">
    <cfRule type="duplicateValues" dxfId="21" priority="2"/>
    <cfRule type="duplicateValues" dxfId="20" priority="4"/>
    <cfRule type="duplicateValues" dxfId="19" priority="3"/>
  </conditionalFormatting>
  <conditionalFormatting sqref="H5:H9">
    <cfRule type="duplicateValues" dxfId="18" priority="17"/>
  </conditionalFormatting>
  <conditionalFormatting sqref="H10">
    <cfRule type="duplicateValues" dxfId="17" priority="13"/>
  </conditionalFormatting>
  <conditionalFormatting sqref="H11">
    <cfRule type="duplicateValues" dxfId="16" priority="12"/>
  </conditionalFormatting>
  <conditionalFormatting sqref="H12">
    <cfRule type="duplicateValues" dxfId="15" priority="11"/>
  </conditionalFormatting>
  <conditionalFormatting sqref="H13">
    <cfRule type="duplicateValues" dxfId="14" priority="14"/>
  </conditionalFormatting>
  <conditionalFormatting sqref="H14:H17">
    <cfRule type="duplicateValues" dxfId="13" priority="10"/>
  </conditionalFormatting>
  <conditionalFormatting sqref="H18:I20">
    <cfRule type="duplicateValues" dxfId="12" priority="9"/>
  </conditionalFormatting>
  <conditionalFormatting sqref="H18:I28 H3 H5:H17">
    <cfRule type="duplicateValues" dxfId="11" priority="100"/>
    <cfRule type="duplicateValues" dxfId="10" priority="101"/>
  </conditionalFormatting>
  <conditionalFormatting sqref="H21:I21">
    <cfRule type="duplicateValues" dxfId="9" priority="8"/>
  </conditionalFormatting>
  <conditionalFormatting sqref="H22:I22">
    <cfRule type="duplicateValues" dxfId="8" priority="7"/>
  </conditionalFormatting>
  <conditionalFormatting sqref="H23:I23">
    <cfRule type="duplicateValues" dxfId="7" priority="18"/>
  </conditionalFormatting>
  <conditionalFormatting sqref="H24:I27">
    <cfRule type="duplicateValues" dxfId="6" priority="91"/>
  </conditionalFormatting>
  <conditionalFormatting sqref="H28:I28">
    <cfRule type="duplicateValues" dxfId="5" priority="5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944F3-71E1-4223-BEF5-E09D69005FB9}">
  <sheetPr>
    <tabColor rgb="FFFFC000"/>
  </sheetPr>
  <dimension ref="A1:D82"/>
  <sheetViews>
    <sheetView topLeftCell="B1" zoomScale="70" zoomScaleNormal="70" workbookViewId="0">
      <pane ySplit="1" topLeftCell="A2" activePane="bottomLeft" state="frozen"/>
      <selection activeCell="A55" sqref="A55:D56"/>
      <selection pane="bottomLeft" activeCell="E17" sqref="E17"/>
    </sheetView>
  </sheetViews>
  <sheetFormatPr defaultColWidth="8.88671875" defaultRowHeight="13.8"/>
  <cols>
    <col min="1" max="1" width="11.21875" style="14" customWidth="1"/>
    <col min="2" max="2" width="11.109375" style="14" bestFit="1" customWidth="1"/>
    <col min="3" max="3" width="27.88671875" style="4" bestFit="1" customWidth="1"/>
    <col min="4" max="4" width="21.6640625" style="22" customWidth="1"/>
    <col min="5" max="5" width="4.109375" style="4" customWidth="1"/>
    <col min="6" max="16384" width="8.88671875" style="4"/>
  </cols>
  <sheetData>
    <row r="1" spans="1:4">
      <c r="A1" s="372" t="s">
        <v>248</v>
      </c>
      <c r="B1" s="373"/>
      <c r="C1" s="373"/>
      <c r="D1" s="373"/>
    </row>
    <row r="2" spans="1:4">
      <c r="A2" s="40" t="s">
        <v>74</v>
      </c>
      <c r="B2" s="39" t="s">
        <v>75</v>
      </c>
      <c r="C2" s="38" t="s">
        <v>232</v>
      </c>
      <c r="D2" s="19" t="s">
        <v>78</v>
      </c>
    </row>
    <row r="3" spans="1:4">
      <c r="A3" s="253" t="str">
        <f>DEC2HEX(B3)</f>
        <v>0</v>
      </c>
      <c r="B3" s="74">
        <v>0</v>
      </c>
      <c r="C3" s="7" t="s">
        <v>788</v>
      </c>
      <c r="D3" s="11" t="s">
        <v>236</v>
      </c>
    </row>
    <row r="4" spans="1:4">
      <c r="A4" s="253" t="str">
        <f t="shared" ref="A4:A14" si="0">DEC2HEX(B4)</f>
        <v>2</v>
      </c>
      <c r="B4" s="74" t="s">
        <v>800</v>
      </c>
      <c r="C4" s="7" t="s">
        <v>772</v>
      </c>
      <c r="D4" s="11" t="s">
        <v>236</v>
      </c>
    </row>
    <row r="5" spans="1:4">
      <c r="A5" s="253" t="str">
        <f t="shared" si="0"/>
        <v>4</v>
      </c>
      <c r="B5" s="74" t="s">
        <v>801</v>
      </c>
      <c r="C5" s="7" t="s">
        <v>789</v>
      </c>
      <c r="D5" s="11" t="s">
        <v>236</v>
      </c>
    </row>
    <row r="6" spans="1:4">
      <c r="A6" s="253" t="str">
        <f t="shared" si="0"/>
        <v>6</v>
      </c>
      <c r="B6" s="74" t="s">
        <v>889</v>
      </c>
      <c r="C6" s="7" t="s">
        <v>773</v>
      </c>
      <c r="D6" s="11" t="s">
        <v>839</v>
      </c>
    </row>
    <row r="7" spans="1:4">
      <c r="A7" s="253" t="str">
        <f t="shared" si="0"/>
        <v>8</v>
      </c>
      <c r="B7" s="74" t="s">
        <v>252</v>
      </c>
      <c r="C7" s="7" t="s">
        <v>790</v>
      </c>
      <c r="D7" s="11" t="s">
        <v>839</v>
      </c>
    </row>
    <row r="8" spans="1:4">
      <c r="A8" s="253" t="str">
        <f t="shared" si="0"/>
        <v>A</v>
      </c>
      <c r="B8" s="74" t="s">
        <v>89</v>
      </c>
      <c r="C8" s="7" t="s">
        <v>774</v>
      </c>
      <c r="D8" s="11" t="s">
        <v>839</v>
      </c>
    </row>
    <row r="9" spans="1:4">
      <c r="A9" s="253" t="str">
        <f t="shared" si="0"/>
        <v>C</v>
      </c>
      <c r="B9" s="74" t="s">
        <v>253</v>
      </c>
      <c r="C9" s="7" t="s">
        <v>791</v>
      </c>
      <c r="D9" s="11" t="s">
        <v>839</v>
      </c>
    </row>
    <row r="10" spans="1:4">
      <c r="A10" s="253" t="str">
        <f t="shared" si="0"/>
        <v>E</v>
      </c>
      <c r="B10" s="74" t="s">
        <v>92</v>
      </c>
      <c r="C10" s="7" t="s">
        <v>775</v>
      </c>
      <c r="D10" s="11" t="s">
        <v>839</v>
      </c>
    </row>
    <row r="11" spans="1:4">
      <c r="A11" s="253" t="str">
        <f t="shared" si="0"/>
        <v>10</v>
      </c>
      <c r="B11" s="74" t="s">
        <v>254</v>
      </c>
      <c r="C11" s="7" t="s">
        <v>792</v>
      </c>
      <c r="D11" s="11" t="s">
        <v>839</v>
      </c>
    </row>
    <row r="12" spans="1:4">
      <c r="A12" s="253" t="str">
        <f t="shared" si="0"/>
        <v>12</v>
      </c>
      <c r="B12" s="74" t="s">
        <v>95</v>
      </c>
      <c r="C12" s="7" t="s">
        <v>776</v>
      </c>
      <c r="D12" s="11" t="s">
        <v>839</v>
      </c>
    </row>
    <row r="13" spans="1:4">
      <c r="A13" s="253" t="str">
        <f t="shared" si="0"/>
        <v>14</v>
      </c>
      <c r="B13" s="74" t="s">
        <v>98</v>
      </c>
      <c r="C13" s="7" t="s">
        <v>793</v>
      </c>
      <c r="D13" s="11" t="s">
        <v>839</v>
      </c>
    </row>
    <row r="14" spans="1:4">
      <c r="A14" s="253" t="str">
        <f t="shared" si="0"/>
        <v>16</v>
      </c>
      <c r="B14" s="74" t="s">
        <v>802</v>
      </c>
      <c r="C14" s="7" t="s">
        <v>777</v>
      </c>
      <c r="D14" s="11" t="s">
        <v>839</v>
      </c>
    </row>
    <row r="15" spans="1:4">
      <c r="A15" s="253" t="str">
        <f t="shared" ref="A15:A25" si="1">DEC2HEX(B15)</f>
        <v>18</v>
      </c>
      <c r="B15" s="74" t="s">
        <v>102</v>
      </c>
      <c r="C15" s="7" t="s">
        <v>794</v>
      </c>
      <c r="D15" s="11" t="s">
        <v>839</v>
      </c>
    </row>
    <row r="16" spans="1:4">
      <c r="A16" s="253" t="str">
        <f t="shared" si="1"/>
        <v>1A</v>
      </c>
      <c r="B16" s="74" t="s">
        <v>803</v>
      </c>
      <c r="C16" s="7" t="s">
        <v>778</v>
      </c>
      <c r="D16" s="11" t="s">
        <v>839</v>
      </c>
    </row>
    <row r="17" spans="1:4">
      <c r="A17" s="253" t="str">
        <f t="shared" si="1"/>
        <v>1C</v>
      </c>
      <c r="B17" s="74" t="s">
        <v>103</v>
      </c>
      <c r="C17" s="7" t="s">
        <v>795</v>
      </c>
      <c r="D17" s="11" t="s">
        <v>839</v>
      </c>
    </row>
    <row r="18" spans="1:4">
      <c r="A18" s="253" t="str">
        <f t="shared" si="1"/>
        <v>1E</v>
      </c>
      <c r="B18" s="74" t="s">
        <v>112</v>
      </c>
      <c r="C18" s="7" t="s">
        <v>779</v>
      </c>
      <c r="D18" s="11" t="s">
        <v>839</v>
      </c>
    </row>
    <row r="19" spans="1:4">
      <c r="A19" s="253" t="str">
        <f t="shared" si="1"/>
        <v>20</v>
      </c>
      <c r="B19" s="74" t="s">
        <v>804</v>
      </c>
      <c r="C19" s="7" t="s">
        <v>796</v>
      </c>
      <c r="D19" s="11" t="s">
        <v>839</v>
      </c>
    </row>
    <row r="20" spans="1:4">
      <c r="A20" s="253" t="str">
        <f t="shared" si="1"/>
        <v>22</v>
      </c>
      <c r="B20" s="74" t="s">
        <v>114</v>
      </c>
      <c r="C20" s="7" t="s">
        <v>780</v>
      </c>
      <c r="D20" s="11" t="s">
        <v>839</v>
      </c>
    </row>
    <row r="21" spans="1:4">
      <c r="A21" s="253" t="str">
        <f t="shared" si="1"/>
        <v>24</v>
      </c>
      <c r="B21" s="74" t="s">
        <v>805</v>
      </c>
      <c r="C21" s="7" t="s">
        <v>797</v>
      </c>
      <c r="D21" s="11" t="s">
        <v>839</v>
      </c>
    </row>
    <row r="22" spans="1:4">
      <c r="A22" s="253" t="str">
        <f t="shared" si="1"/>
        <v>26</v>
      </c>
      <c r="B22" s="74" t="s">
        <v>118</v>
      </c>
      <c r="C22" s="7" t="s">
        <v>781</v>
      </c>
      <c r="D22" s="11" t="s">
        <v>839</v>
      </c>
    </row>
    <row r="23" spans="1:4">
      <c r="A23" s="253" t="str">
        <f t="shared" si="1"/>
        <v>28</v>
      </c>
      <c r="B23" s="74" t="s">
        <v>125</v>
      </c>
      <c r="C23" s="7" t="s">
        <v>798</v>
      </c>
      <c r="D23" s="11" t="s">
        <v>839</v>
      </c>
    </row>
    <row r="24" spans="1:4">
      <c r="A24" s="253" t="str">
        <f t="shared" si="1"/>
        <v>2A</v>
      </c>
      <c r="B24" s="74" t="s">
        <v>806</v>
      </c>
      <c r="C24" s="7" t="s">
        <v>782</v>
      </c>
      <c r="D24" s="11" t="s">
        <v>839</v>
      </c>
    </row>
    <row r="25" spans="1:4">
      <c r="A25" s="253" t="str">
        <f t="shared" si="1"/>
        <v>2C</v>
      </c>
      <c r="B25" s="74" t="s">
        <v>129</v>
      </c>
      <c r="C25" s="7" t="s">
        <v>799</v>
      </c>
      <c r="D25" s="11" t="s">
        <v>839</v>
      </c>
    </row>
    <row r="26" spans="1:4">
      <c r="A26" s="253" t="str">
        <f t="shared" ref="A26" si="2">DEC2HEX(B26)</f>
        <v>2E</v>
      </c>
      <c r="B26" s="74" t="s">
        <v>807</v>
      </c>
      <c r="C26" s="7" t="s">
        <v>783</v>
      </c>
      <c r="D26" s="11" t="s">
        <v>839</v>
      </c>
    </row>
    <row r="27" spans="1:4">
      <c r="A27" s="78"/>
      <c r="B27" s="77"/>
      <c r="C27" s="37"/>
      <c r="D27" s="218"/>
    </row>
    <row r="29" spans="1:4">
      <c r="A29" s="372" t="s">
        <v>715</v>
      </c>
      <c r="B29" s="373"/>
      <c r="C29" s="373"/>
      <c r="D29" s="373"/>
    </row>
    <row r="30" spans="1:4">
      <c r="A30" s="40" t="s">
        <v>74</v>
      </c>
      <c r="B30" s="39" t="s">
        <v>75</v>
      </c>
      <c r="C30" s="38" t="s">
        <v>232</v>
      </c>
      <c r="D30" s="19" t="s">
        <v>78</v>
      </c>
    </row>
    <row r="31" spans="1:4">
      <c r="A31" s="253" t="str">
        <f>DEC2HEX(B31)</f>
        <v>0</v>
      </c>
      <c r="B31" s="74">
        <v>0</v>
      </c>
      <c r="C31" s="7" t="s">
        <v>788</v>
      </c>
      <c r="D31" s="11" t="s">
        <v>236</v>
      </c>
    </row>
    <row r="32" spans="1:4">
      <c r="A32" s="253" t="str">
        <f t="shared" ref="A32:A54" si="3">DEC2HEX(B32)</f>
        <v>2</v>
      </c>
      <c r="B32" s="74" t="s">
        <v>800</v>
      </c>
      <c r="C32" s="7" t="s">
        <v>772</v>
      </c>
      <c r="D32" s="11" t="s">
        <v>236</v>
      </c>
    </row>
    <row r="33" spans="1:4">
      <c r="A33" s="253" t="str">
        <f t="shared" si="3"/>
        <v>4</v>
      </c>
      <c r="B33" s="74" t="s">
        <v>801</v>
      </c>
      <c r="C33" s="7" t="s">
        <v>789</v>
      </c>
      <c r="D33" s="11" t="s">
        <v>236</v>
      </c>
    </row>
    <row r="34" spans="1:4">
      <c r="A34" s="253" t="str">
        <f t="shared" si="3"/>
        <v>6</v>
      </c>
      <c r="B34" s="74" t="s">
        <v>889</v>
      </c>
      <c r="C34" s="7" t="s">
        <v>773</v>
      </c>
      <c r="D34" s="11" t="s">
        <v>839</v>
      </c>
    </row>
    <row r="35" spans="1:4">
      <c r="A35" s="253" t="str">
        <f t="shared" si="3"/>
        <v>8</v>
      </c>
      <c r="B35" s="74" t="s">
        <v>252</v>
      </c>
      <c r="C35" s="7" t="s">
        <v>790</v>
      </c>
      <c r="D35" s="11" t="s">
        <v>839</v>
      </c>
    </row>
    <row r="36" spans="1:4">
      <c r="A36" s="253" t="str">
        <f t="shared" si="3"/>
        <v>A</v>
      </c>
      <c r="B36" s="74" t="s">
        <v>89</v>
      </c>
      <c r="C36" s="7" t="s">
        <v>774</v>
      </c>
      <c r="D36" s="11" t="s">
        <v>839</v>
      </c>
    </row>
    <row r="37" spans="1:4">
      <c r="A37" s="253" t="str">
        <f t="shared" si="3"/>
        <v>C</v>
      </c>
      <c r="B37" s="74" t="s">
        <v>253</v>
      </c>
      <c r="C37" s="7" t="s">
        <v>791</v>
      </c>
      <c r="D37" s="11" t="s">
        <v>839</v>
      </c>
    </row>
    <row r="38" spans="1:4">
      <c r="A38" s="253" t="str">
        <f t="shared" si="3"/>
        <v>E</v>
      </c>
      <c r="B38" s="74" t="s">
        <v>92</v>
      </c>
      <c r="C38" s="7" t="s">
        <v>775</v>
      </c>
      <c r="D38" s="11" t="s">
        <v>839</v>
      </c>
    </row>
    <row r="39" spans="1:4">
      <c r="A39" s="253" t="str">
        <f t="shared" si="3"/>
        <v>10</v>
      </c>
      <c r="B39" s="74" t="s">
        <v>254</v>
      </c>
      <c r="C39" s="7" t="s">
        <v>792</v>
      </c>
      <c r="D39" s="11" t="s">
        <v>839</v>
      </c>
    </row>
    <row r="40" spans="1:4">
      <c r="A40" s="253" t="str">
        <f t="shared" si="3"/>
        <v>12</v>
      </c>
      <c r="B40" s="74" t="s">
        <v>95</v>
      </c>
      <c r="C40" s="7" t="s">
        <v>776</v>
      </c>
      <c r="D40" s="11" t="s">
        <v>839</v>
      </c>
    </row>
    <row r="41" spans="1:4">
      <c r="A41" s="253" t="str">
        <f t="shared" si="3"/>
        <v>14</v>
      </c>
      <c r="B41" s="74" t="s">
        <v>98</v>
      </c>
      <c r="C41" s="7" t="s">
        <v>793</v>
      </c>
      <c r="D41" s="11" t="s">
        <v>839</v>
      </c>
    </row>
    <row r="42" spans="1:4">
      <c r="A42" s="253" t="str">
        <f t="shared" si="3"/>
        <v>16</v>
      </c>
      <c r="B42" s="74" t="s">
        <v>802</v>
      </c>
      <c r="C42" s="7" t="s">
        <v>777</v>
      </c>
      <c r="D42" s="11" t="s">
        <v>839</v>
      </c>
    </row>
    <row r="43" spans="1:4">
      <c r="A43" s="253" t="str">
        <f t="shared" si="3"/>
        <v>18</v>
      </c>
      <c r="B43" s="74" t="s">
        <v>102</v>
      </c>
      <c r="C43" s="7" t="s">
        <v>794</v>
      </c>
      <c r="D43" s="11" t="s">
        <v>839</v>
      </c>
    </row>
    <row r="44" spans="1:4">
      <c r="A44" s="253" t="str">
        <f t="shared" si="3"/>
        <v>1A</v>
      </c>
      <c r="B44" s="74" t="s">
        <v>803</v>
      </c>
      <c r="C44" s="7" t="s">
        <v>778</v>
      </c>
      <c r="D44" s="11" t="s">
        <v>839</v>
      </c>
    </row>
    <row r="45" spans="1:4">
      <c r="A45" s="253" t="str">
        <f t="shared" si="3"/>
        <v>1C</v>
      </c>
      <c r="B45" s="74" t="s">
        <v>103</v>
      </c>
      <c r="C45" s="7" t="s">
        <v>795</v>
      </c>
      <c r="D45" s="11" t="s">
        <v>839</v>
      </c>
    </row>
    <row r="46" spans="1:4">
      <c r="A46" s="253" t="str">
        <f t="shared" si="3"/>
        <v>1E</v>
      </c>
      <c r="B46" s="74" t="s">
        <v>112</v>
      </c>
      <c r="C46" s="7" t="s">
        <v>779</v>
      </c>
      <c r="D46" s="11" t="s">
        <v>839</v>
      </c>
    </row>
    <row r="47" spans="1:4">
      <c r="A47" s="253" t="str">
        <f t="shared" si="3"/>
        <v>20</v>
      </c>
      <c r="B47" s="74" t="s">
        <v>804</v>
      </c>
      <c r="C47" s="7" t="s">
        <v>796</v>
      </c>
      <c r="D47" s="11" t="s">
        <v>839</v>
      </c>
    </row>
    <row r="48" spans="1:4">
      <c r="A48" s="253" t="str">
        <f t="shared" si="3"/>
        <v>22</v>
      </c>
      <c r="B48" s="74" t="s">
        <v>114</v>
      </c>
      <c r="C48" s="7" t="s">
        <v>780</v>
      </c>
      <c r="D48" s="11" t="s">
        <v>839</v>
      </c>
    </row>
    <row r="49" spans="1:4">
      <c r="A49" s="253" t="str">
        <f t="shared" si="3"/>
        <v>24</v>
      </c>
      <c r="B49" s="74" t="s">
        <v>805</v>
      </c>
      <c r="C49" s="7" t="s">
        <v>797</v>
      </c>
      <c r="D49" s="11" t="s">
        <v>839</v>
      </c>
    </row>
    <row r="50" spans="1:4">
      <c r="A50" s="253" t="str">
        <f t="shared" si="3"/>
        <v>26</v>
      </c>
      <c r="B50" s="74" t="s">
        <v>118</v>
      </c>
      <c r="C50" s="7" t="s">
        <v>781</v>
      </c>
      <c r="D50" s="11" t="s">
        <v>839</v>
      </c>
    </row>
    <row r="51" spans="1:4">
      <c r="A51" s="253" t="str">
        <f t="shared" si="3"/>
        <v>28</v>
      </c>
      <c r="B51" s="74" t="s">
        <v>125</v>
      </c>
      <c r="C51" s="7" t="s">
        <v>798</v>
      </c>
      <c r="D51" s="11" t="s">
        <v>839</v>
      </c>
    </row>
    <row r="52" spans="1:4">
      <c r="A52" s="253" t="str">
        <f t="shared" si="3"/>
        <v>2A</v>
      </c>
      <c r="B52" s="74" t="s">
        <v>806</v>
      </c>
      <c r="C52" s="7" t="s">
        <v>782</v>
      </c>
      <c r="D52" s="11" t="s">
        <v>839</v>
      </c>
    </row>
    <row r="53" spans="1:4">
      <c r="A53" s="253" t="str">
        <f t="shared" si="3"/>
        <v>2C</v>
      </c>
      <c r="B53" s="74" t="s">
        <v>129</v>
      </c>
      <c r="C53" s="7" t="s">
        <v>799</v>
      </c>
      <c r="D53" s="11" t="s">
        <v>839</v>
      </c>
    </row>
    <row r="54" spans="1:4">
      <c r="A54" s="253" t="str">
        <f t="shared" si="3"/>
        <v>2E</v>
      </c>
      <c r="B54" s="74" t="s">
        <v>807</v>
      </c>
      <c r="C54" s="7" t="s">
        <v>783</v>
      </c>
      <c r="D54" s="11" t="s">
        <v>839</v>
      </c>
    </row>
    <row r="57" spans="1:4">
      <c r="A57" s="372" t="s">
        <v>716</v>
      </c>
      <c r="B57" s="373"/>
      <c r="C57" s="373"/>
      <c r="D57" s="373"/>
    </row>
    <row r="58" spans="1:4">
      <c r="A58" s="40" t="s">
        <v>74</v>
      </c>
      <c r="B58" s="39" t="s">
        <v>75</v>
      </c>
      <c r="C58" s="38" t="s">
        <v>232</v>
      </c>
      <c r="D58" s="19" t="s">
        <v>78</v>
      </c>
    </row>
    <row r="59" spans="1:4">
      <c r="A59" s="253" t="str">
        <f>DEC2HEX(B59)</f>
        <v>0</v>
      </c>
      <c r="B59" s="74">
        <v>0</v>
      </c>
      <c r="C59" s="7" t="s">
        <v>788</v>
      </c>
      <c r="D59" s="11" t="s">
        <v>236</v>
      </c>
    </row>
    <row r="60" spans="1:4">
      <c r="A60" s="253" t="str">
        <f t="shared" ref="A60:A82" si="4">DEC2HEX(B60)</f>
        <v>2</v>
      </c>
      <c r="B60" s="74" t="s">
        <v>800</v>
      </c>
      <c r="C60" s="7" t="s">
        <v>772</v>
      </c>
      <c r="D60" s="11" t="s">
        <v>236</v>
      </c>
    </row>
    <row r="61" spans="1:4">
      <c r="A61" s="253" t="str">
        <f t="shared" si="4"/>
        <v>4</v>
      </c>
      <c r="B61" s="74" t="s">
        <v>801</v>
      </c>
      <c r="C61" s="7" t="s">
        <v>789</v>
      </c>
      <c r="D61" s="11" t="s">
        <v>236</v>
      </c>
    </row>
    <row r="62" spans="1:4">
      <c r="A62" s="253" t="str">
        <f t="shared" si="4"/>
        <v>6</v>
      </c>
      <c r="B62" s="74" t="s">
        <v>889</v>
      </c>
      <c r="C62" s="7" t="s">
        <v>773</v>
      </c>
      <c r="D62" s="11" t="s">
        <v>839</v>
      </c>
    </row>
    <row r="63" spans="1:4">
      <c r="A63" s="253" t="str">
        <f t="shared" si="4"/>
        <v>8</v>
      </c>
      <c r="B63" s="74" t="s">
        <v>252</v>
      </c>
      <c r="C63" s="7" t="s">
        <v>790</v>
      </c>
      <c r="D63" s="11" t="s">
        <v>839</v>
      </c>
    </row>
    <row r="64" spans="1:4">
      <c r="A64" s="253" t="str">
        <f t="shared" si="4"/>
        <v>A</v>
      </c>
      <c r="B64" s="74" t="s">
        <v>89</v>
      </c>
      <c r="C64" s="7" t="s">
        <v>774</v>
      </c>
      <c r="D64" s="11" t="s">
        <v>839</v>
      </c>
    </row>
    <row r="65" spans="1:4">
      <c r="A65" s="253" t="str">
        <f t="shared" si="4"/>
        <v>C</v>
      </c>
      <c r="B65" s="74" t="s">
        <v>253</v>
      </c>
      <c r="C65" s="7" t="s">
        <v>791</v>
      </c>
      <c r="D65" s="11" t="s">
        <v>839</v>
      </c>
    </row>
    <row r="66" spans="1:4">
      <c r="A66" s="253" t="str">
        <f t="shared" si="4"/>
        <v>E</v>
      </c>
      <c r="B66" s="74" t="s">
        <v>92</v>
      </c>
      <c r="C66" s="7" t="s">
        <v>775</v>
      </c>
      <c r="D66" s="11" t="s">
        <v>839</v>
      </c>
    </row>
    <row r="67" spans="1:4">
      <c r="A67" s="253" t="str">
        <f t="shared" si="4"/>
        <v>10</v>
      </c>
      <c r="B67" s="74" t="s">
        <v>254</v>
      </c>
      <c r="C67" s="7" t="s">
        <v>792</v>
      </c>
      <c r="D67" s="11" t="s">
        <v>839</v>
      </c>
    </row>
    <row r="68" spans="1:4">
      <c r="A68" s="253" t="str">
        <f t="shared" si="4"/>
        <v>12</v>
      </c>
      <c r="B68" s="74" t="s">
        <v>95</v>
      </c>
      <c r="C68" s="7" t="s">
        <v>776</v>
      </c>
      <c r="D68" s="11" t="s">
        <v>839</v>
      </c>
    </row>
    <row r="69" spans="1:4">
      <c r="A69" s="253" t="str">
        <f t="shared" si="4"/>
        <v>14</v>
      </c>
      <c r="B69" s="74" t="s">
        <v>98</v>
      </c>
      <c r="C69" s="7" t="s">
        <v>793</v>
      </c>
      <c r="D69" s="11" t="s">
        <v>839</v>
      </c>
    </row>
    <row r="70" spans="1:4">
      <c r="A70" s="253" t="str">
        <f t="shared" si="4"/>
        <v>16</v>
      </c>
      <c r="B70" s="74" t="s">
        <v>802</v>
      </c>
      <c r="C70" s="7" t="s">
        <v>777</v>
      </c>
      <c r="D70" s="11" t="s">
        <v>839</v>
      </c>
    </row>
    <row r="71" spans="1:4">
      <c r="A71" s="253" t="str">
        <f t="shared" si="4"/>
        <v>18</v>
      </c>
      <c r="B71" s="74" t="s">
        <v>102</v>
      </c>
      <c r="C71" s="7" t="s">
        <v>794</v>
      </c>
      <c r="D71" s="11" t="s">
        <v>839</v>
      </c>
    </row>
    <row r="72" spans="1:4">
      <c r="A72" s="253" t="str">
        <f t="shared" si="4"/>
        <v>1A</v>
      </c>
      <c r="B72" s="74" t="s">
        <v>803</v>
      </c>
      <c r="C72" s="7" t="s">
        <v>778</v>
      </c>
      <c r="D72" s="11" t="s">
        <v>839</v>
      </c>
    </row>
    <row r="73" spans="1:4">
      <c r="A73" s="253" t="str">
        <f t="shared" si="4"/>
        <v>1C</v>
      </c>
      <c r="B73" s="74" t="s">
        <v>103</v>
      </c>
      <c r="C73" s="7" t="s">
        <v>795</v>
      </c>
      <c r="D73" s="11" t="s">
        <v>839</v>
      </c>
    </row>
    <row r="74" spans="1:4">
      <c r="A74" s="253" t="str">
        <f t="shared" si="4"/>
        <v>1E</v>
      </c>
      <c r="B74" s="74" t="s">
        <v>112</v>
      </c>
      <c r="C74" s="7" t="s">
        <v>779</v>
      </c>
      <c r="D74" s="11" t="s">
        <v>839</v>
      </c>
    </row>
    <row r="75" spans="1:4">
      <c r="A75" s="253" t="str">
        <f t="shared" si="4"/>
        <v>20</v>
      </c>
      <c r="B75" s="74" t="s">
        <v>804</v>
      </c>
      <c r="C75" s="7" t="s">
        <v>796</v>
      </c>
      <c r="D75" s="11" t="s">
        <v>839</v>
      </c>
    </row>
    <row r="76" spans="1:4">
      <c r="A76" s="253" t="str">
        <f t="shared" si="4"/>
        <v>22</v>
      </c>
      <c r="B76" s="74" t="s">
        <v>114</v>
      </c>
      <c r="C76" s="7" t="s">
        <v>780</v>
      </c>
      <c r="D76" s="11" t="s">
        <v>839</v>
      </c>
    </row>
    <row r="77" spans="1:4">
      <c r="A77" s="253" t="str">
        <f t="shared" si="4"/>
        <v>24</v>
      </c>
      <c r="B77" s="74" t="s">
        <v>805</v>
      </c>
      <c r="C77" s="7" t="s">
        <v>797</v>
      </c>
      <c r="D77" s="11" t="s">
        <v>839</v>
      </c>
    </row>
    <row r="78" spans="1:4">
      <c r="A78" s="253" t="str">
        <f t="shared" si="4"/>
        <v>26</v>
      </c>
      <c r="B78" s="74" t="s">
        <v>118</v>
      </c>
      <c r="C78" s="7" t="s">
        <v>781</v>
      </c>
      <c r="D78" s="11" t="s">
        <v>839</v>
      </c>
    </row>
    <row r="79" spans="1:4">
      <c r="A79" s="253" t="str">
        <f t="shared" si="4"/>
        <v>28</v>
      </c>
      <c r="B79" s="74" t="s">
        <v>125</v>
      </c>
      <c r="C79" s="7" t="s">
        <v>798</v>
      </c>
      <c r="D79" s="11" t="s">
        <v>839</v>
      </c>
    </row>
    <row r="80" spans="1:4">
      <c r="A80" s="253" t="str">
        <f t="shared" si="4"/>
        <v>2A</v>
      </c>
      <c r="B80" s="74" t="s">
        <v>806</v>
      </c>
      <c r="C80" s="7" t="s">
        <v>782</v>
      </c>
      <c r="D80" s="11" t="s">
        <v>839</v>
      </c>
    </row>
    <row r="81" spans="1:4">
      <c r="A81" s="253" t="str">
        <f t="shared" si="4"/>
        <v>2C</v>
      </c>
      <c r="B81" s="74" t="s">
        <v>129</v>
      </c>
      <c r="C81" s="7" t="s">
        <v>799</v>
      </c>
      <c r="D81" s="11" t="s">
        <v>839</v>
      </c>
    </row>
    <row r="82" spans="1:4">
      <c r="A82" s="253" t="str">
        <f t="shared" si="4"/>
        <v>2E</v>
      </c>
      <c r="B82" s="74" t="s">
        <v>807</v>
      </c>
      <c r="C82" s="7" t="s">
        <v>783</v>
      </c>
      <c r="D82" s="11" t="s">
        <v>839</v>
      </c>
    </row>
  </sheetData>
  <mergeCells count="3">
    <mergeCell ref="A1:D1"/>
    <mergeCell ref="A29:D29"/>
    <mergeCell ref="A57:D57"/>
  </mergeCells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1FED9-E6FD-4378-A508-12D089484289}">
  <sheetPr>
    <tabColor theme="8" tint="0.59999389629810485"/>
  </sheetPr>
  <dimension ref="A1:D23"/>
  <sheetViews>
    <sheetView zoomScale="70" zoomScaleNormal="70" workbookViewId="0">
      <pane ySplit="1" topLeftCell="A2" activePane="bottomLeft" state="frozen"/>
      <selection activeCell="A55" sqref="A55:D56"/>
      <selection pane="bottomLeft" activeCell="J13" sqref="J13"/>
    </sheetView>
  </sheetViews>
  <sheetFormatPr defaultColWidth="8.88671875" defaultRowHeight="13.8"/>
  <cols>
    <col min="1" max="1" width="11.21875" style="14" customWidth="1"/>
    <col min="2" max="2" width="11.109375" style="14" bestFit="1" customWidth="1"/>
    <col min="3" max="3" width="27.88671875" style="4" bestFit="1" customWidth="1"/>
    <col min="4" max="4" width="21.6640625" style="22" customWidth="1"/>
    <col min="5" max="5" width="4.109375" style="4" customWidth="1"/>
    <col min="6" max="16384" width="8.88671875" style="4"/>
  </cols>
  <sheetData>
    <row r="1" spans="1:4">
      <c r="A1" s="372" t="s">
        <v>235</v>
      </c>
      <c r="B1" s="373"/>
      <c r="C1" s="373"/>
      <c r="D1" s="373"/>
    </row>
    <row r="2" spans="1:4">
      <c r="A2" s="40" t="s">
        <v>74</v>
      </c>
      <c r="B2" s="39" t="s">
        <v>75</v>
      </c>
      <c r="C2" s="38" t="s">
        <v>232</v>
      </c>
      <c r="D2" s="19" t="s">
        <v>78</v>
      </c>
    </row>
    <row r="3" spans="1:4">
      <c r="A3" s="253" t="str">
        <f t="shared" ref="A3:A6" si="0">DEC2HEX(B3)</f>
        <v>0</v>
      </c>
      <c r="B3" s="258" t="s">
        <v>890</v>
      </c>
      <c r="C3" s="29" t="s">
        <v>784</v>
      </c>
      <c r="D3" s="11" t="s">
        <v>236</v>
      </c>
    </row>
    <row r="4" spans="1:4">
      <c r="A4" s="253" t="str">
        <f t="shared" si="0"/>
        <v>2</v>
      </c>
      <c r="B4" s="258" t="s">
        <v>891</v>
      </c>
      <c r="C4" s="29" t="s">
        <v>785</v>
      </c>
      <c r="D4" s="11" t="s">
        <v>236</v>
      </c>
    </row>
    <row r="5" spans="1:4">
      <c r="A5" s="253" t="str">
        <f t="shared" si="0"/>
        <v>4</v>
      </c>
      <c r="B5" s="258" t="s">
        <v>892</v>
      </c>
      <c r="C5" s="29" t="s">
        <v>786</v>
      </c>
      <c r="D5" s="11" t="s">
        <v>236</v>
      </c>
    </row>
    <row r="6" spans="1:4">
      <c r="A6" s="253" t="str">
        <f t="shared" si="0"/>
        <v>6</v>
      </c>
      <c r="B6" s="258" t="s">
        <v>251</v>
      </c>
      <c r="C6" s="29" t="s">
        <v>787</v>
      </c>
      <c r="D6" s="11" t="s">
        <v>236</v>
      </c>
    </row>
    <row r="9" spans="1:4">
      <c r="A9" s="372" t="s">
        <v>391</v>
      </c>
      <c r="B9" s="373"/>
      <c r="C9" s="373"/>
      <c r="D9" s="373"/>
    </row>
    <row r="10" spans="1:4">
      <c r="A10" s="40" t="s">
        <v>74</v>
      </c>
      <c r="B10" s="39" t="s">
        <v>75</v>
      </c>
      <c r="C10" s="38" t="s">
        <v>232</v>
      </c>
      <c r="D10" s="19" t="s">
        <v>78</v>
      </c>
    </row>
    <row r="11" spans="1:4">
      <c r="A11" s="253" t="str">
        <f t="shared" ref="A11:A14" si="1">DEC2HEX(B11)</f>
        <v>0</v>
      </c>
      <c r="B11" s="258" t="s">
        <v>890</v>
      </c>
      <c r="C11" s="29" t="s">
        <v>784</v>
      </c>
      <c r="D11" s="11" t="s">
        <v>236</v>
      </c>
    </row>
    <row r="12" spans="1:4">
      <c r="A12" s="253" t="str">
        <f t="shared" si="1"/>
        <v>2</v>
      </c>
      <c r="B12" s="258" t="s">
        <v>891</v>
      </c>
      <c r="C12" s="29" t="s">
        <v>785</v>
      </c>
      <c r="D12" s="11" t="s">
        <v>236</v>
      </c>
    </row>
    <row r="13" spans="1:4">
      <c r="A13" s="253" t="str">
        <f t="shared" si="1"/>
        <v>4</v>
      </c>
      <c r="B13" s="258" t="s">
        <v>892</v>
      </c>
      <c r="C13" s="29" t="s">
        <v>786</v>
      </c>
      <c r="D13" s="11" t="s">
        <v>236</v>
      </c>
    </row>
    <row r="14" spans="1:4">
      <c r="A14" s="253" t="str">
        <f t="shared" si="1"/>
        <v>6</v>
      </c>
      <c r="B14" s="258" t="s">
        <v>251</v>
      </c>
      <c r="C14" s="29" t="s">
        <v>787</v>
      </c>
      <c r="D14" s="11" t="s">
        <v>236</v>
      </c>
    </row>
    <row r="18" spans="1:4">
      <c r="A18" s="372" t="s">
        <v>392</v>
      </c>
      <c r="B18" s="373"/>
      <c r="C18" s="373"/>
      <c r="D18" s="373"/>
    </row>
    <row r="19" spans="1:4">
      <c r="A19" s="40" t="s">
        <v>74</v>
      </c>
      <c r="B19" s="39" t="s">
        <v>75</v>
      </c>
      <c r="C19" s="38" t="s">
        <v>232</v>
      </c>
      <c r="D19" s="19" t="s">
        <v>78</v>
      </c>
    </row>
    <row r="20" spans="1:4">
      <c r="A20" s="253" t="str">
        <f t="shared" ref="A20:A23" si="2">DEC2HEX(B20)</f>
        <v>0</v>
      </c>
      <c r="B20" s="258" t="s">
        <v>890</v>
      </c>
      <c r="C20" s="29" t="s">
        <v>784</v>
      </c>
      <c r="D20" s="11" t="s">
        <v>236</v>
      </c>
    </row>
    <row r="21" spans="1:4">
      <c r="A21" s="253" t="str">
        <f t="shared" si="2"/>
        <v>2</v>
      </c>
      <c r="B21" s="258" t="s">
        <v>891</v>
      </c>
      <c r="C21" s="29" t="s">
        <v>785</v>
      </c>
      <c r="D21" s="11" t="s">
        <v>236</v>
      </c>
    </row>
    <row r="22" spans="1:4">
      <c r="A22" s="253" t="str">
        <f t="shared" si="2"/>
        <v>4</v>
      </c>
      <c r="B22" s="258" t="s">
        <v>892</v>
      </c>
      <c r="C22" s="29" t="s">
        <v>786</v>
      </c>
      <c r="D22" s="11" t="s">
        <v>236</v>
      </c>
    </row>
    <row r="23" spans="1:4">
      <c r="A23" s="253" t="str">
        <f t="shared" si="2"/>
        <v>6</v>
      </c>
      <c r="B23" s="258" t="s">
        <v>251</v>
      </c>
      <c r="C23" s="29" t="s">
        <v>787</v>
      </c>
      <c r="D23" s="11" t="s">
        <v>236</v>
      </c>
    </row>
  </sheetData>
  <mergeCells count="3">
    <mergeCell ref="A1:D1"/>
    <mergeCell ref="A9:D9"/>
    <mergeCell ref="A18:D18"/>
  </mergeCells>
  <phoneticPr fontId="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A9B29-0C8B-42E0-98BE-ADB47E9B7F61}">
  <sheetPr>
    <tabColor rgb="FFFFC000"/>
  </sheetPr>
  <dimension ref="A1:D47"/>
  <sheetViews>
    <sheetView zoomScale="40" zoomScaleNormal="40" workbookViewId="0">
      <pane ySplit="1" topLeftCell="A2" activePane="bottomLeft" state="frozen"/>
      <selection activeCell="A55" sqref="A55:D56"/>
      <selection pane="bottomLeft" activeCell="A17" sqref="A17:D17"/>
    </sheetView>
  </sheetViews>
  <sheetFormatPr defaultColWidth="8.88671875" defaultRowHeight="13.8"/>
  <cols>
    <col min="1" max="1" width="11.21875" style="14" customWidth="1"/>
    <col min="2" max="2" width="11.109375" style="14" bestFit="1" customWidth="1"/>
    <col min="3" max="3" width="27.88671875" style="22" bestFit="1" customWidth="1"/>
    <col min="4" max="4" width="21.6640625" style="22" customWidth="1"/>
    <col min="5" max="5" width="4.109375" style="4" customWidth="1"/>
    <col min="6" max="16384" width="8.88671875" style="4"/>
  </cols>
  <sheetData>
    <row r="1" spans="1:4">
      <c r="A1" s="372" t="s">
        <v>718</v>
      </c>
      <c r="B1" s="373"/>
      <c r="C1" s="373"/>
      <c r="D1" s="373"/>
    </row>
    <row r="2" spans="1:4">
      <c r="A2" s="40" t="s">
        <v>74</v>
      </c>
      <c r="B2" s="39" t="s">
        <v>75</v>
      </c>
      <c r="C2" s="19" t="s">
        <v>232</v>
      </c>
      <c r="D2" s="19" t="s">
        <v>78</v>
      </c>
    </row>
    <row r="3" spans="1:4">
      <c r="A3" s="72" t="str">
        <f>DEC2HEX(B3)</f>
        <v>0</v>
      </c>
      <c r="B3" s="73">
        <v>0</v>
      </c>
      <c r="C3" s="11" t="s">
        <v>247</v>
      </c>
      <c r="D3" s="34" t="s">
        <v>82</v>
      </c>
    </row>
    <row r="4" spans="1:4">
      <c r="A4" s="72" t="str">
        <f t="shared" ref="A4:A14" si="0">DEC2HEX(B4)</f>
        <v>4</v>
      </c>
      <c r="B4" s="73">
        <f>B3+4</f>
        <v>4</v>
      </c>
      <c r="C4" s="11" t="s">
        <v>246</v>
      </c>
      <c r="D4" s="34" t="s">
        <v>82</v>
      </c>
    </row>
    <row r="5" spans="1:4">
      <c r="A5" s="72" t="str">
        <f t="shared" si="0"/>
        <v>8</v>
      </c>
      <c r="B5" s="73">
        <f>B4+4</f>
        <v>8</v>
      </c>
      <c r="C5" s="11" t="s">
        <v>245</v>
      </c>
      <c r="D5" s="34" t="s">
        <v>82</v>
      </c>
    </row>
    <row r="6" spans="1:4">
      <c r="A6" s="72" t="str">
        <f t="shared" si="0"/>
        <v>C</v>
      </c>
      <c r="B6" s="73">
        <f t="shared" ref="B6" si="1">B5+4</f>
        <v>12</v>
      </c>
      <c r="C6" s="346" t="s">
        <v>1022</v>
      </c>
      <c r="D6" s="34" t="s">
        <v>82</v>
      </c>
    </row>
    <row r="7" spans="1:4">
      <c r="A7" s="72" t="str">
        <f t="shared" si="0"/>
        <v>10</v>
      </c>
      <c r="B7" s="74">
        <v>16</v>
      </c>
      <c r="C7" s="11" t="s">
        <v>244</v>
      </c>
      <c r="D7" s="34" t="s">
        <v>82</v>
      </c>
    </row>
    <row r="8" spans="1:4">
      <c r="A8" s="72" t="str">
        <f t="shared" si="0"/>
        <v>14</v>
      </c>
      <c r="B8" s="74">
        <v>20</v>
      </c>
      <c r="C8" s="11" t="s">
        <v>243</v>
      </c>
      <c r="D8" s="34" t="s">
        <v>82</v>
      </c>
    </row>
    <row r="9" spans="1:4">
      <c r="A9" s="72" t="str">
        <f t="shared" si="0"/>
        <v>18</v>
      </c>
      <c r="B9" s="74">
        <v>24</v>
      </c>
      <c r="C9" s="11" t="s">
        <v>242</v>
      </c>
      <c r="D9" s="34" t="s">
        <v>82</v>
      </c>
    </row>
    <row r="10" spans="1:4">
      <c r="A10" s="72" t="str">
        <f t="shared" si="0"/>
        <v>1C</v>
      </c>
      <c r="B10" s="74">
        <v>28</v>
      </c>
      <c r="C10" s="11" t="s">
        <v>241</v>
      </c>
      <c r="D10" s="34" t="s">
        <v>82</v>
      </c>
    </row>
    <row r="11" spans="1:4">
      <c r="A11" s="72" t="str">
        <f t="shared" si="0"/>
        <v>20</v>
      </c>
      <c r="B11" s="74">
        <v>32</v>
      </c>
      <c r="C11" s="11" t="s">
        <v>240</v>
      </c>
      <c r="D11" s="34" t="s">
        <v>82</v>
      </c>
    </row>
    <row r="12" spans="1:4">
      <c r="A12" s="72" t="str">
        <f t="shared" si="0"/>
        <v>24</v>
      </c>
      <c r="B12" s="74">
        <v>36</v>
      </c>
      <c r="C12" s="346" t="s">
        <v>239</v>
      </c>
      <c r="D12" s="34" t="s">
        <v>82</v>
      </c>
    </row>
    <row r="13" spans="1:4">
      <c r="A13" s="72" t="str">
        <f t="shared" si="0"/>
        <v>28</v>
      </c>
      <c r="B13" s="74">
        <v>40</v>
      </c>
      <c r="C13" s="11" t="s">
        <v>238</v>
      </c>
      <c r="D13" s="34" t="s">
        <v>82</v>
      </c>
    </row>
    <row r="14" spans="1:4">
      <c r="A14" s="72" t="str">
        <f t="shared" si="0"/>
        <v>2C</v>
      </c>
      <c r="B14" s="74">
        <v>44</v>
      </c>
      <c r="C14" s="11" t="s">
        <v>237</v>
      </c>
      <c r="D14" s="34" t="s">
        <v>82</v>
      </c>
    </row>
    <row r="15" spans="1:4">
      <c r="A15" s="78"/>
      <c r="B15" s="77"/>
      <c r="C15" s="218"/>
      <c r="D15" s="218"/>
    </row>
    <row r="16" spans="1:4">
      <c r="A16" s="78"/>
      <c r="B16" s="77"/>
      <c r="C16" s="218"/>
      <c r="D16" s="218"/>
    </row>
    <row r="17" spans="1:4">
      <c r="A17" s="372" t="s">
        <v>719</v>
      </c>
      <c r="B17" s="373"/>
      <c r="C17" s="373"/>
      <c r="D17" s="373"/>
    </row>
    <row r="18" spans="1:4">
      <c r="A18" s="40" t="s">
        <v>74</v>
      </c>
      <c r="B18" s="39" t="s">
        <v>75</v>
      </c>
      <c r="C18" s="19" t="s">
        <v>232</v>
      </c>
      <c r="D18" s="19" t="s">
        <v>78</v>
      </c>
    </row>
    <row r="19" spans="1:4">
      <c r="A19" s="72" t="str">
        <f>DEC2HEX(B19)</f>
        <v>0</v>
      </c>
      <c r="B19" s="73">
        <v>0</v>
      </c>
      <c r="C19" s="11" t="s">
        <v>247</v>
      </c>
      <c r="D19" s="34" t="s">
        <v>82</v>
      </c>
    </row>
    <row r="20" spans="1:4">
      <c r="A20" s="72" t="str">
        <f t="shared" ref="A20:A30" si="2">DEC2HEX(B20)</f>
        <v>4</v>
      </c>
      <c r="B20" s="73">
        <f>B19+4</f>
        <v>4</v>
      </c>
      <c r="C20" s="11" t="s">
        <v>246</v>
      </c>
      <c r="D20" s="34" t="s">
        <v>82</v>
      </c>
    </row>
    <row r="21" spans="1:4">
      <c r="A21" s="72" t="str">
        <f t="shared" si="2"/>
        <v>8</v>
      </c>
      <c r="B21" s="73">
        <f>B20+4</f>
        <v>8</v>
      </c>
      <c r="C21" s="11" t="s">
        <v>245</v>
      </c>
      <c r="D21" s="34" t="s">
        <v>82</v>
      </c>
    </row>
    <row r="22" spans="1:4">
      <c r="A22" s="72" t="str">
        <f t="shared" si="2"/>
        <v>C</v>
      </c>
      <c r="B22" s="73">
        <f t="shared" ref="B22" si="3">B21+4</f>
        <v>12</v>
      </c>
      <c r="C22" s="346" t="s">
        <v>1022</v>
      </c>
      <c r="D22" s="34" t="s">
        <v>82</v>
      </c>
    </row>
    <row r="23" spans="1:4">
      <c r="A23" s="72" t="str">
        <f t="shared" si="2"/>
        <v>10</v>
      </c>
      <c r="B23" s="74">
        <v>16</v>
      </c>
      <c r="C23" s="11" t="s">
        <v>244</v>
      </c>
      <c r="D23" s="34" t="s">
        <v>82</v>
      </c>
    </row>
    <row r="24" spans="1:4">
      <c r="A24" s="72" t="str">
        <f t="shared" si="2"/>
        <v>14</v>
      </c>
      <c r="B24" s="74">
        <v>20</v>
      </c>
      <c r="C24" s="11" t="s">
        <v>243</v>
      </c>
      <c r="D24" s="34" t="s">
        <v>82</v>
      </c>
    </row>
    <row r="25" spans="1:4">
      <c r="A25" s="72" t="str">
        <f t="shared" si="2"/>
        <v>18</v>
      </c>
      <c r="B25" s="74">
        <v>24</v>
      </c>
      <c r="C25" s="11" t="s">
        <v>242</v>
      </c>
      <c r="D25" s="34" t="s">
        <v>82</v>
      </c>
    </row>
    <row r="26" spans="1:4">
      <c r="A26" s="72" t="str">
        <f t="shared" si="2"/>
        <v>1C</v>
      </c>
      <c r="B26" s="74">
        <v>28</v>
      </c>
      <c r="C26" s="11" t="s">
        <v>241</v>
      </c>
      <c r="D26" s="34" t="s">
        <v>82</v>
      </c>
    </row>
    <row r="27" spans="1:4">
      <c r="A27" s="72" t="str">
        <f t="shared" si="2"/>
        <v>20</v>
      </c>
      <c r="B27" s="74">
        <v>32</v>
      </c>
      <c r="C27" s="11" t="s">
        <v>240</v>
      </c>
      <c r="D27" s="34" t="s">
        <v>82</v>
      </c>
    </row>
    <row r="28" spans="1:4">
      <c r="A28" s="72" t="str">
        <f t="shared" si="2"/>
        <v>24</v>
      </c>
      <c r="B28" s="74">
        <v>36</v>
      </c>
      <c r="C28" s="346" t="s">
        <v>1026</v>
      </c>
      <c r="D28" s="34" t="s">
        <v>82</v>
      </c>
    </row>
    <row r="29" spans="1:4">
      <c r="A29" s="72" t="str">
        <f t="shared" si="2"/>
        <v>28</v>
      </c>
      <c r="B29" s="74">
        <v>40</v>
      </c>
      <c r="C29" s="11" t="s">
        <v>238</v>
      </c>
      <c r="D29" s="34" t="s">
        <v>82</v>
      </c>
    </row>
    <row r="30" spans="1:4">
      <c r="A30" s="72" t="str">
        <f t="shared" si="2"/>
        <v>2C</v>
      </c>
      <c r="B30" s="74">
        <v>44</v>
      </c>
      <c r="C30" s="11" t="s">
        <v>237</v>
      </c>
      <c r="D30" s="34" t="s">
        <v>82</v>
      </c>
    </row>
    <row r="34" spans="1:4">
      <c r="A34" s="372" t="s">
        <v>720</v>
      </c>
      <c r="B34" s="373"/>
      <c r="C34" s="373"/>
      <c r="D34" s="373"/>
    </row>
    <row r="35" spans="1:4">
      <c r="A35" s="40" t="s">
        <v>74</v>
      </c>
      <c r="B35" s="39" t="s">
        <v>75</v>
      </c>
      <c r="C35" s="19" t="s">
        <v>232</v>
      </c>
      <c r="D35" s="19" t="s">
        <v>78</v>
      </c>
    </row>
    <row r="36" spans="1:4">
      <c r="A36" s="72" t="str">
        <f>DEC2HEX(B36)</f>
        <v>0</v>
      </c>
      <c r="B36" s="73">
        <v>0</v>
      </c>
      <c r="C36" s="11" t="s">
        <v>247</v>
      </c>
      <c r="D36" s="34" t="s">
        <v>82</v>
      </c>
    </row>
    <row r="37" spans="1:4">
      <c r="A37" s="72" t="str">
        <f t="shared" ref="A37:A47" si="4">DEC2HEX(B37)</f>
        <v>4</v>
      </c>
      <c r="B37" s="73">
        <f>B36+4</f>
        <v>4</v>
      </c>
      <c r="C37" s="11" t="s">
        <v>246</v>
      </c>
      <c r="D37" s="34" t="s">
        <v>82</v>
      </c>
    </row>
    <row r="38" spans="1:4">
      <c r="A38" s="72" t="str">
        <f t="shared" si="4"/>
        <v>8</v>
      </c>
      <c r="B38" s="73">
        <f>B37+4</f>
        <v>8</v>
      </c>
      <c r="C38" s="11" t="s">
        <v>245</v>
      </c>
      <c r="D38" s="34" t="s">
        <v>82</v>
      </c>
    </row>
    <row r="39" spans="1:4">
      <c r="A39" s="72" t="str">
        <f t="shared" si="4"/>
        <v>C</v>
      </c>
      <c r="B39" s="73">
        <f t="shared" ref="B39" si="5">B38+4</f>
        <v>12</v>
      </c>
      <c r="C39" s="346" t="s">
        <v>1022</v>
      </c>
      <c r="D39" s="34" t="s">
        <v>82</v>
      </c>
    </row>
    <row r="40" spans="1:4">
      <c r="A40" s="72" t="str">
        <f t="shared" si="4"/>
        <v>10</v>
      </c>
      <c r="B40" s="74">
        <v>16</v>
      </c>
      <c r="C40" s="11" t="s">
        <v>244</v>
      </c>
      <c r="D40" s="34" t="s">
        <v>82</v>
      </c>
    </row>
    <row r="41" spans="1:4">
      <c r="A41" s="72" t="str">
        <f t="shared" si="4"/>
        <v>14</v>
      </c>
      <c r="B41" s="74">
        <v>20</v>
      </c>
      <c r="C41" s="11" t="s">
        <v>243</v>
      </c>
      <c r="D41" s="34" t="s">
        <v>82</v>
      </c>
    </row>
    <row r="42" spans="1:4">
      <c r="A42" s="72" t="str">
        <f t="shared" si="4"/>
        <v>18</v>
      </c>
      <c r="B42" s="74">
        <v>24</v>
      </c>
      <c r="C42" s="11" t="s">
        <v>242</v>
      </c>
      <c r="D42" s="34" t="s">
        <v>82</v>
      </c>
    </row>
    <row r="43" spans="1:4">
      <c r="A43" s="72" t="str">
        <f t="shared" si="4"/>
        <v>1C</v>
      </c>
      <c r="B43" s="74">
        <v>28</v>
      </c>
      <c r="C43" s="11" t="s">
        <v>241</v>
      </c>
      <c r="D43" s="34" t="s">
        <v>82</v>
      </c>
    </row>
    <row r="44" spans="1:4">
      <c r="A44" s="72" t="str">
        <f t="shared" si="4"/>
        <v>20</v>
      </c>
      <c r="B44" s="74">
        <v>32</v>
      </c>
      <c r="C44" s="11" t="s">
        <v>240</v>
      </c>
      <c r="D44" s="34" t="s">
        <v>82</v>
      </c>
    </row>
    <row r="45" spans="1:4">
      <c r="A45" s="72" t="str">
        <f t="shared" si="4"/>
        <v>24</v>
      </c>
      <c r="B45" s="74">
        <v>36</v>
      </c>
      <c r="C45" s="346" t="s">
        <v>239</v>
      </c>
      <c r="D45" s="34" t="s">
        <v>82</v>
      </c>
    </row>
    <row r="46" spans="1:4">
      <c r="A46" s="72" t="str">
        <f t="shared" si="4"/>
        <v>28</v>
      </c>
      <c r="B46" s="74">
        <v>40</v>
      </c>
      <c r="C46" s="11" t="s">
        <v>238</v>
      </c>
      <c r="D46" s="34" t="s">
        <v>82</v>
      </c>
    </row>
    <row r="47" spans="1:4">
      <c r="A47" s="72" t="str">
        <f t="shared" si="4"/>
        <v>2C</v>
      </c>
      <c r="B47" s="74">
        <v>44</v>
      </c>
      <c r="C47" s="11" t="s">
        <v>237</v>
      </c>
      <c r="D47" s="34" t="s">
        <v>82</v>
      </c>
    </row>
  </sheetData>
  <mergeCells count="3">
    <mergeCell ref="A1:D1"/>
    <mergeCell ref="A17:D17"/>
    <mergeCell ref="A34:D34"/>
  </mergeCells>
  <phoneticPr fontId="3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2849F-CC0C-47D9-891E-D189E05A2A8F}">
  <sheetPr>
    <tabColor rgb="FFFFC000"/>
  </sheetPr>
  <dimension ref="A1:E43"/>
  <sheetViews>
    <sheetView zoomScale="55" zoomScaleNormal="55" workbookViewId="0">
      <pane ySplit="1" topLeftCell="A2" activePane="bottomLeft" state="frozen"/>
      <selection activeCell="A55" sqref="A55:D56"/>
      <selection pane="bottomLeft" activeCell="C28" sqref="C28"/>
    </sheetView>
  </sheetViews>
  <sheetFormatPr defaultColWidth="8.88671875" defaultRowHeight="13.8"/>
  <cols>
    <col min="1" max="1" width="10.88671875" style="14" customWidth="1"/>
    <col min="2" max="2" width="11.109375" style="14" bestFit="1" customWidth="1"/>
    <col min="3" max="3" width="43.88671875" style="4" customWidth="1"/>
    <col min="4" max="4" width="48.109375" style="22" customWidth="1"/>
    <col min="5" max="5" width="12.77734375" style="4" customWidth="1"/>
    <col min="6" max="7" width="8.88671875" style="4" customWidth="1"/>
    <col min="8" max="8" width="17.21875" style="4" customWidth="1"/>
    <col min="9" max="9" width="19.21875" style="4" customWidth="1"/>
    <col min="10" max="10" width="19.6640625" style="4" customWidth="1"/>
    <col min="11" max="11" width="16.33203125" style="4" customWidth="1"/>
    <col min="12" max="12" width="15" style="4" customWidth="1"/>
    <col min="13" max="13" width="18.6640625" style="4" customWidth="1"/>
    <col min="14" max="14" width="16.77734375" style="4" customWidth="1"/>
    <col min="15" max="15" width="14.6640625" style="4" customWidth="1"/>
    <col min="16" max="16384" width="8.88671875" style="4"/>
  </cols>
  <sheetData>
    <row r="1" spans="1:5">
      <c r="A1" s="374" t="s">
        <v>255</v>
      </c>
      <c r="B1" s="375"/>
      <c r="C1" s="375"/>
      <c r="D1" s="375"/>
    </row>
    <row r="2" spans="1:5">
      <c r="A2" s="75" t="s">
        <v>74</v>
      </c>
      <c r="B2" s="75" t="s">
        <v>75</v>
      </c>
      <c r="C2" s="76" t="s">
        <v>232</v>
      </c>
      <c r="D2" s="22" t="s">
        <v>77</v>
      </c>
      <c r="E2" s="51"/>
    </row>
    <row r="3" spans="1:5" ht="15">
      <c r="A3" s="52" t="str">
        <f t="shared" ref="A3:A35" si="0">DEC2HEX(B3)</f>
        <v>0</v>
      </c>
      <c r="B3" s="52">
        <v>0</v>
      </c>
      <c r="C3" s="229" t="s">
        <v>256</v>
      </c>
      <c r="D3" s="23" t="s">
        <v>257</v>
      </c>
      <c r="E3" s="54"/>
    </row>
    <row r="4" spans="1:5" ht="15">
      <c r="A4" s="52" t="str">
        <f t="shared" si="0"/>
        <v>1</v>
      </c>
      <c r="B4" s="52">
        <v>1</v>
      </c>
      <c r="C4" s="230" t="s">
        <v>258</v>
      </c>
      <c r="D4" s="23" t="s">
        <v>259</v>
      </c>
      <c r="E4" s="54"/>
    </row>
    <row r="5" spans="1:5" ht="15">
      <c r="A5" s="52" t="str">
        <f t="shared" si="0"/>
        <v>2</v>
      </c>
      <c r="B5" s="52">
        <v>2</v>
      </c>
      <c r="C5" s="230" t="s">
        <v>261</v>
      </c>
      <c r="D5" s="23" t="s">
        <v>262</v>
      </c>
      <c r="E5" s="54"/>
    </row>
    <row r="6" spans="1:5" ht="15">
      <c r="A6" s="52" t="str">
        <f t="shared" si="0"/>
        <v>3</v>
      </c>
      <c r="B6" s="52">
        <v>3</v>
      </c>
      <c r="C6" s="231" t="s">
        <v>263</v>
      </c>
      <c r="D6" s="23" t="s">
        <v>264</v>
      </c>
      <c r="E6" s="54"/>
    </row>
    <row r="7" spans="1:5" ht="15">
      <c r="A7" s="52" t="str">
        <f t="shared" si="0"/>
        <v>4</v>
      </c>
      <c r="B7" s="52">
        <v>4</v>
      </c>
      <c r="C7" s="230" t="s">
        <v>265</v>
      </c>
      <c r="D7" s="23" t="s">
        <v>266</v>
      </c>
      <c r="E7" s="22"/>
    </row>
    <row r="8" spans="1:5" ht="15">
      <c r="A8" s="52" t="str">
        <f t="shared" si="0"/>
        <v>5</v>
      </c>
      <c r="B8" s="52">
        <v>5</v>
      </c>
      <c r="C8" s="232" t="s">
        <v>268</v>
      </c>
      <c r="D8" s="23" t="s">
        <v>269</v>
      </c>
      <c r="E8" s="54"/>
    </row>
    <row r="9" spans="1:5" ht="15">
      <c r="A9" s="52" t="str">
        <f t="shared" si="0"/>
        <v>6</v>
      </c>
      <c r="B9" s="52">
        <v>6</v>
      </c>
      <c r="C9" s="230" t="s">
        <v>270</v>
      </c>
      <c r="D9" s="23" t="s">
        <v>271</v>
      </c>
      <c r="E9" s="54"/>
    </row>
    <row r="10" spans="1:5" ht="15">
      <c r="A10" s="52" t="str">
        <f t="shared" si="0"/>
        <v>7</v>
      </c>
      <c r="B10" s="52">
        <v>7</v>
      </c>
      <c r="C10" s="231" t="s">
        <v>272</v>
      </c>
      <c r="D10" s="23" t="s">
        <v>273</v>
      </c>
      <c r="E10" s="22"/>
    </row>
    <row r="11" spans="1:5" ht="15">
      <c r="A11" s="52" t="str">
        <f t="shared" si="0"/>
        <v>8</v>
      </c>
      <c r="B11" s="52">
        <v>8</v>
      </c>
      <c r="C11" s="230" t="s">
        <v>277</v>
      </c>
      <c r="D11" s="23" t="s">
        <v>278</v>
      </c>
      <c r="E11" s="22"/>
    </row>
    <row r="12" spans="1:5" ht="15">
      <c r="A12" s="52" t="str">
        <f t="shared" si="0"/>
        <v>9</v>
      </c>
      <c r="B12" s="52">
        <v>9</v>
      </c>
      <c r="C12" s="230" t="s">
        <v>279</v>
      </c>
      <c r="D12" s="23" t="s">
        <v>280</v>
      </c>
      <c r="E12" s="22"/>
    </row>
    <row r="13" spans="1:5" ht="15">
      <c r="A13" s="52" t="str">
        <f t="shared" si="0"/>
        <v>A</v>
      </c>
      <c r="B13" s="52">
        <v>10</v>
      </c>
      <c r="C13" s="230" t="s">
        <v>281</v>
      </c>
      <c r="D13" s="23" t="s">
        <v>282</v>
      </c>
      <c r="E13" s="54"/>
    </row>
    <row r="14" spans="1:5" ht="15">
      <c r="A14" s="52" t="str">
        <f t="shared" si="0"/>
        <v>B</v>
      </c>
      <c r="B14" s="52">
        <v>11</v>
      </c>
      <c r="C14" s="230" t="s">
        <v>284</v>
      </c>
      <c r="D14" s="23" t="s">
        <v>285</v>
      </c>
      <c r="E14" s="22"/>
    </row>
    <row r="15" spans="1:5" ht="15">
      <c r="A15" s="52" t="str">
        <f t="shared" si="0"/>
        <v>C</v>
      </c>
      <c r="B15" s="52">
        <v>12</v>
      </c>
      <c r="C15" s="230" t="s">
        <v>286</v>
      </c>
      <c r="D15" s="23" t="s">
        <v>283</v>
      </c>
      <c r="E15" s="22"/>
    </row>
    <row r="16" spans="1:5" ht="14.4" customHeight="1">
      <c r="A16" s="52" t="str">
        <f t="shared" si="0"/>
        <v>D</v>
      </c>
      <c r="B16" s="52">
        <v>13</v>
      </c>
      <c r="C16" s="230" t="s">
        <v>287</v>
      </c>
      <c r="D16" s="23" t="s">
        <v>288</v>
      </c>
      <c r="E16" s="22"/>
    </row>
    <row r="17" spans="1:5" ht="15">
      <c r="A17" s="52" t="str">
        <f t="shared" si="0"/>
        <v>E</v>
      </c>
      <c r="B17" s="52">
        <v>14</v>
      </c>
      <c r="C17" s="229" t="s">
        <v>289</v>
      </c>
      <c r="D17" s="23" t="s">
        <v>290</v>
      </c>
      <c r="E17" s="22"/>
    </row>
    <row r="18" spans="1:5" ht="15">
      <c r="A18" s="52" t="str">
        <f t="shared" si="0"/>
        <v>F</v>
      </c>
      <c r="B18" s="52">
        <v>15</v>
      </c>
      <c r="C18" s="233" t="s">
        <v>291</v>
      </c>
      <c r="D18" s="23" t="s">
        <v>292</v>
      </c>
      <c r="E18" s="22"/>
    </row>
    <row r="19" spans="1:5" ht="15">
      <c r="A19" s="52" t="str">
        <f t="shared" si="0"/>
        <v>10</v>
      </c>
      <c r="B19" s="52">
        <v>16</v>
      </c>
      <c r="C19" s="233" t="s">
        <v>293</v>
      </c>
      <c r="D19" s="23" t="s">
        <v>294</v>
      </c>
      <c r="E19" s="58"/>
    </row>
    <row r="20" spans="1:5" ht="15">
      <c r="A20" s="52" t="str">
        <f t="shared" si="0"/>
        <v>11</v>
      </c>
      <c r="B20" s="52">
        <v>17</v>
      </c>
      <c r="C20" s="57" t="s">
        <v>295</v>
      </c>
      <c r="D20" s="23" t="s">
        <v>296</v>
      </c>
      <c r="E20" s="22"/>
    </row>
    <row r="21" spans="1:5" ht="15">
      <c r="A21" s="52" t="str">
        <f t="shared" si="0"/>
        <v>12</v>
      </c>
      <c r="B21" s="52">
        <v>18</v>
      </c>
      <c r="C21" s="56" t="s">
        <v>297</v>
      </c>
      <c r="D21" s="23" t="s">
        <v>260</v>
      </c>
      <c r="E21" s="22"/>
    </row>
    <row r="22" spans="1:5" ht="15">
      <c r="A22" s="52" t="str">
        <f t="shared" si="0"/>
        <v>13</v>
      </c>
      <c r="B22" s="52">
        <v>19</v>
      </c>
      <c r="C22" s="57" t="s">
        <v>298</v>
      </c>
      <c r="D22" s="23" t="s">
        <v>130</v>
      </c>
      <c r="E22" s="59"/>
    </row>
    <row r="23" spans="1:5" ht="15">
      <c r="A23" s="52" t="str">
        <f t="shared" si="0"/>
        <v>14</v>
      </c>
      <c r="B23" s="52">
        <v>20</v>
      </c>
      <c r="C23" s="57" t="s">
        <v>299</v>
      </c>
      <c r="D23" s="23" t="s">
        <v>110</v>
      </c>
      <c r="E23" s="59"/>
    </row>
    <row r="24" spans="1:5" ht="15">
      <c r="A24" s="52" t="str">
        <f t="shared" si="0"/>
        <v>15</v>
      </c>
      <c r="B24" s="52">
        <v>21</v>
      </c>
      <c r="C24" s="57" t="s">
        <v>300</v>
      </c>
      <c r="D24" s="23" t="s">
        <v>301</v>
      </c>
      <c r="E24" s="54"/>
    </row>
    <row r="25" spans="1:5" ht="15">
      <c r="A25" s="52" t="str">
        <f t="shared" si="0"/>
        <v>16</v>
      </c>
      <c r="B25" s="52">
        <v>22</v>
      </c>
      <c r="C25" s="55" t="s">
        <v>302</v>
      </c>
      <c r="D25" s="23" t="s">
        <v>303</v>
      </c>
      <c r="E25" s="22"/>
    </row>
    <row r="26" spans="1:5" ht="15">
      <c r="A26" s="52" t="str">
        <f t="shared" si="0"/>
        <v>17</v>
      </c>
      <c r="B26" s="52">
        <v>23</v>
      </c>
      <c r="C26" s="55" t="s">
        <v>304</v>
      </c>
      <c r="D26" s="23" t="s">
        <v>305</v>
      </c>
      <c r="E26" s="22"/>
    </row>
    <row r="27" spans="1:5" ht="18" customHeight="1">
      <c r="A27" s="60" t="str">
        <f t="shared" si="0"/>
        <v>18</v>
      </c>
      <c r="B27" s="60">
        <v>24</v>
      </c>
      <c r="C27" s="55" t="s">
        <v>306</v>
      </c>
      <c r="D27" s="23" t="s">
        <v>307</v>
      </c>
      <c r="E27" s="49"/>
    </row>
    <row r="28" spans="1:5" ht="15">
      <c r="A28" s="52" t="str">
        <f t="shared" si="0"/>
        <v>19</v>
      </c>
      <c r="B28" s="52">
        <v>25</v>
      </c>
      <c r="C28" s="53" t="s">
        <v>308</v>
      </c>
      <c r="D28" s="23" t="s">
        <v>309</v>
      </c>
      <c r="E28" s="22"/>
    </row>
    <row r="29" spans="1:5" ht="15">
      <c r="A29" s="52" t="str">
        <f t="shared" si="0"/>
        <v>1A</v>
      </c>
      <c r="B29" s="52">
        <v>26</v>
      </c>
      <c r="C29" s="53" t="s">
        <v>310</v>
      </c>
      <c r="D29" s="23" t="s">
        <v>311</v>
      </c>
      <c r="E29" s="22"/>
    </row>
    <row r="30" spans="1:5" ht="15">
      <c r="A30" s="52" t="str">
        <f t="shared" si="0"/>
        <v>1B</v>
      </c>
      <c r="B30" s="52">
        <v>27</v>
      </c>
      <c r="C30" s="53" t="s">
        <v>312</v>
      </c>
      <c r="D30" s="23" t="s">
        <v>313</v>
      </c>
      <c r="E30" s="22"/>
    </row>
    <row r="31" spans="1:5" ht="15">
      <c r="A31" s="52" t="str">
        <f t="shared" si="0"/>
        <v>1C</v>
      </c>
      <c r="B31" s="52">
        <v>28</v>
      </c>
      <c r="C31" s="55" t="s">
        <v>314</v>
      </c>
      <c r="D31" s="23" t="s">
        <v>315</v>
      </c>
      <c r="E31" s="22"/>
    </row>
    <row r="32" spans="1:5" ht="15">
      <c r="A32" s="52" t="str">
        <f t="shared" si="0"/>
        <v>1D</v>
      </c>
      <c r="B32" s="52">
        <v>29</v>
      </c>
      <c r="C32" s="55" t="s">
        <v>316</v>
      </c>
      <c r="D32" s="23" t="s">
        <v>317</v>
      </c>
      <c r="E32" s="22"/>
    </row>
    <row r="33" spans="1:5" ht="15">
      <c r="A33" s="52" t="str">
        <f t="shared" si="0"/>
        <v>1E</v>
      </c>
      <c r="B33" s="52">
        <v>30</v>
      </c>
      <c r="C33" s="55" t="s">
        <v>318</v>
      </c>
      <c r="D33" s="23" t="s">
        <v>319</v>
      </c>
      <c r="E33" s="22"/>
    </row>
    <row r="34" spans="1:5" ht="21" customHeight="1">
      <c r="A34" s="52" t="str">
        <f t="shared" si="0"/>
        <v>1F</v>
      </c>
      <c r="B34" s="52">
        <v>31</v>
      </c>
      <c r="C34" s="233" t="s">
        <v>320</v>
      </c>
      <c r="D34" s="23" t="s">
        <v>321</v>
      </c>
      <c r="E34" s="22"/>
    </row>
    <row r="35" spans="1:5" ht="15">
      <c r="A35" s="52" t="str">
        <f t="shared" si="0"/>
        <v>20</v>
      </c>
      <c r="B35" s="52">
        <v>32</v>
      </c>
      <c r="C35" s="230" t="s">
        <v>275</v>
      </c>
      <c r="D35" s="23" t="s">
        <v>274</v>
      </c>
      <c r="E35" s="22"/>
    </row>
    <row r="36" spans="1:5">
      <c r="C36" s="5"/>
      <c r="E36" s="22"/>
    </row>
    <row r="37" spans="1:5">
      <c r="C37" s="5"/>
      <c r="E37" s="22"/>
    </row>
    <row r="38" spans="1:5" ht="15">
      <c r="C38" s="5"/>
      <c r="E38" s="54"/>
    </row>
    <row r="39" spans="1:5">
      <c r="C39" s="5"/>
      <c r="E39" s="22"/>
    </row>
    <row r="40" spans="1:5">
      <c r="C40" s="5"/>
      <c r="E40" s="22"/>
    </row>
    <row r="41" spans="1:5">
      <c r="C41" s="5"/>
      <c r="E41" s="22"/>
    </row>
    <row r="42" spans="1:5">
      <c r="C42" s="5"/>
    </row>
    <row r="43" spans="1:5">
      <c r="C43" s="5"/>
    </row>
  </sheetData>
  <mergeCells count="1">
    <mergeCell ref="A1:D1"/>
  </mergeCells>
  <phoneticPr fontId="24" type="noConversion"/>
  <conditionalFormatting sqref="C3:C35">
    <cfRule type="duplicateValues" dxfId="4" priority="20"/>
  </conditionalFormatting>
  <conditionalFormatting sqref="G11">
    <cfRule type="duplicateValues" dxfId="3" priority="1"/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F1E5D-6E65-421C-9FFD-5C31DCFDE8C5}">
  <sheetPr>
    <tabColor rgb="FFFF0000"/>
  </sheetPr>
  <dimension ref="A1:M91"/>
  <sheetViews>
    <sheetView zoomScale="85" zoomScaleNormal="85" workbookViewId="0">
      <pane ySplit="1" topLeftCell="A56" activePane="bottomLeft" state="frozen"/>
      <selection activeCell="P37" sqref="P37"/>
      <selection pane="bottomLeft" activeCell="N84" sqref="N84"/>
    </sheetView>
  </sheetViews>
  <sheetFormatPr defaultColWidth="8.88671875" defaultRowHeight="13.8"/>
  <cols>
    <col min="1" max="1" width="11.21875" style="14" customWidth="1"/>
    <col min="2" max="2" width="11.109375" style="14" bestFit="1" customWidth="1"/>
    <col min="3" max="3" width="27.88671875" style="4" bestFit="1" customWidth="1"/>
    <col min="4" max="4" width="21.6640625" style="22" customWidth="1"/>
    <col min="5" max="5" width="4.109375" style="33" customWidth="1"/>
    <col min="6" max="8" width="8.88671875" style="4"/>
    <col min="9" max="9" width="20.88671875" style="4" customWidth="1"/>
    <col min="10" max="12" width="8.88671875" style="4"/>
    <col min="13" max="13" width="28.21875" style="14" customWidth="1"/>
    <col min="14" max="16384" width="8.88671875" style="4"/>
  </cols>
  <sheetData>
    <row r="1" spans="1:4">
      <c r="A1" s="372" t="s">
        <v>393</v>
      </c>
      <c r="B1" s="373"/>
      <c r="C1" s="373"/>
      <c r="D1" s="373"/>
    </row>
    <row r="2" spans="1:4">
      <c r="A2" s="40" t="s">
        <v>74</v>
      </c>
      <c r="B2" s="39" t="s">
        <v>75</v>
      </c>
      <c r="C2" s="38" t="s">
        <v>232</v>
      </c>
      <c r="D2" s="19" t="s">
        <v>78</v>
      </c>
    </row>
    <row r="3" spans="1:4">
      <c r="A3" s="7" t="str">
        <f>DEC2HEX(B3)</f>
        <v>0</v>
      </c>
      <c r="B3" s="7">
        <v>0</v>
      </c>
      <c r="C3" s="7" t="s">
        <v>865</v>
      </c>
      <c r="D3" s="11" t="s">
        <v>236</v>
      </c>
    </row>
    <row r="4" spans="1:4">
      <c r="A4" s="7" t="str">
        <f t="shared" ref="A4:A26" si="0">DEC2HEX(B4)</f>
        <v>2</v>
      </c>
      <c r="B4" s="7">
        <v>2</v>
      </c>
      <c r="C4" s="7" t="s">
        <v>866</v>
      </c>
      <c r="D4" s="11" t="s">
        <v>236</v>
      </c>
    </row>
    <row r="5" spans="1:4">
      <c r="A5" s="7" t="str">
        <f t="shared" si="0"/>
        <v>4</v>
      </c>
      <c r="B5" s="7">
        <v>4</v>
      </c>
      <c r="C5" s="7" t="s">
        <v>863</v>
      </c>
      <c r="D5" s="11" t="s">
        <v>236</v>
      </c>
    </row>
    <row r="6" spans="1:4">
      <c r="A6" s="7" t="str">
        <f t="shared" si="0"/>
        <v>6</v>
      </c>
      <c r="B6" s="7">
        <v>6</v>
      </c>
      <c r="C6" s="7" t="s">
        <v>864</v>
      </c>
      <c r="D6" s="11" t="s">
        <v>236</v>
      </c>
    </row>
    <row r="7" spans="1:4">
      <c r="A7" s="7" t="str">
        <f t="shared" si="0"/>
        <v>8</v>
      </c>
      <c r="B7" s="7">
        <v>8</v>
      </c>
      <c r="C7" s="7" t="s">
        <v>841</v>
      </c>
      <c r="D7" s="11" t="s">
        <v>236</v>
      </c>
    </row>
    <row r="8" spans="1:4">
      <c r="A8" s="7" t="str">
        <f t="shared" si="0"/>
        <v>A</v>
      </c>
      <c r="B8" s="7">
        <v>10</v>
      </c>
      <c r="C8" s="7" t="s">
        <v>842</v>
      </c>
      <c r="D8" s="11" t="s">
        <v>236</v>
      </c>
    </row>
    <row r="9" spans="1:4">
      <c r="A9" s="7" t="str">
        <f t="shared" si="0"/>
        <v>C</v>
      </c>
      <c r="B9" s="7">
        <v>12</v>
      </c>
      <c r="C9" s="7" t="s">
        <v>843</v>
      </c>
      <c r="D9" s="11" t="s">
        <v>236</v>
      </c>
    </row>
    <row r="10" spans="1:4">
      <c r="A10" s="7" t="str">
        <f t="shared" si="0"/>
        <v>E</v>
      </c>
      <c r="B10" s="7">
        <v>14</v>
      </c>
      <c r="C10" s="7" t="s">
        <v>844</v>
      </c>
      <c r="D10" s="11" t="s">
        <v>236</v>
      </c>
    </row>
    <row r="11" spans="1:4">
      <c r="A11" s="7" t="str">
        <f t="shared" si="0"/>
        <v>10</v>
      </c>
      <c r="B11" s="7">
        <v>16</v>
      </c>
      <c r="C11" s="7" t="s">
        <v>845</v>
      </c>
      <c r="D11" s="11" t="s">
        <v>839</v>
      </c>
    </row>
    <row r="12" spans="1:4">
      <c r="A12" s="7" t="str">
        <f t="shared" si="0"/>
        <v>12</v>
      </c>
      <c r="B12" s="7">
        <v>18</v>
      </c>
      <c r="C12" s="7" t="s">
        <v>846</v>
      </c>
      <c r="D12" s="11" t="s">
        <v>839</v>
      </c>
    </row>
    <row r="13" spans="1:4">
      <c r="A13" s="7" t="str">
        <f t="shared" si="0"/>
        <v>14</v>
      </c>
      <c r="B13" s="7">
        <v>20</v>
      </c>
      <c r="C13" s="7" t="s">
        <v>847</v>
      </c>
      <c r="D13" s="11" t="s">
        <v>839</v>
      </c>
    </row>
    <row r="14" spans="1:4">
      <c r="A14" s="7" t="str">
        <f t="shared" si="0"/>
        <v>16</v>
      </c>
      <c r="B14" s="7">
        <v>22</v>
      </c>
      <c r="C14" s="7" t="s">
        <v>848</v>
      </c>
      <c r="D14" s="11" t="s">
        <v>839</v>
      </c>
    </row>
    <row r="15" spans="1:4">
      <c r="A15" s="7" t="str">
        <f t="shared" si="0"/>
        <v>18</v>
      </c>
      <c r="B15" s="7">
        <v>24</v>
      </c>
      <c r="C15" s="7" t="s">
        <v>849</v>
      </c>
      <c r="D15" s="11" t="s">
        <v>839</v>
      </c>
    </row>
    <row r="16" spans="1:4">
      <c r="A16" s="7" t="str">
        <f t="shared" si="0"/>
        <v>1A</v>
      </c>
      <c r="B16" s="7">
        <v>26</v>
      </c>
      <c r="C16" s="7" t="s">
        <v>850</v>
      </c>
      <c r="D16" s="11" t="s">
        <v>839</v>
      </c>
    </row>
    <row r="17" spans="1:13">
      <c r="A17" s="7" t="str">
        <f t="shared" si="0"/>
        <v>1C</v>
      </c>
      <c r="B17" s="7">
        <v>28</v>
      </c>
      <c r="C17" s="7" t="s">
        <v>851</v>
      </c>
      <c r="D17" s="11" t="s">
        <v>839</v>
      </c>
    </row>
    <row r="18" spans="1:13">
      <c r="A18" s="7" t="str">
        <f t="shared" si="0"/>
        <v>1E</v>
      </c>
      <c r="B18" s="7">
        <v>30</v>
      </c>
      <c r="C18" s="7" t="s">
        <v>852</v>
      </c>
      <c r="D18" s="11" t="s">
        <v>839</v>
      </c>
    </row>
    <row r="19" spans="1:13">
      <c r="A19" s="7" t="str">
        <f t="shared" si="0"/>
        <v>20</v>
      </c>
      <c r="B19" s="7">
        <v>32</v>
      </c>
      <c r="C19" s="7" t="s">
        <v>853</v>
      </c>
      <c r="D19" s="11" t="s">
        <v>839</v>
      </c>
    </row>
    <row r="20" spans="1:13">
      <c r="A20" s="7" t="str">
        <f t="shared" si="0"/>
        <v>22</v>
      </c>
      <c r="B20" s="7">
        <v>34</v>
      </c>
      <c r="C20" s="7" t="s">
        <v>854</v>
      </c>
      <c r="D20" s="11" t="s">
        <v>839</v>
      </c>
    </row>
    <row r="21" spans="1:13">
      <c r="A21" s="7" t="str">
        <f t="shared" si="0"/>
        <v>24</v>
      </c>
      <c r="B21" s="7">
        <v>36</v>
      </c>
      <c r="C21" s="7" t="s">
        <v>855</v>
      </c>
      <c r="D21" s="11" t="s">
        <v>839</v>
      </c>
    </row>
    <row r="22" spans="1:13">
      <c r="A22" s="7" t="str">
        <f t="shared" si="0"/>
        <v>26</v>
      </c>
      <c r="B22" s="7">
        <v>38</v>
      </c>
      <c r="C22" s="7" t="s">
        <v>856</v>
      </c>
      <c r="D22" s="11" t="s">
        <v>839</v>
      </c>
    </row>
    <row r="23" spans="1:13">
      <c r="A23" s="7" t="str">
        <f t="shared" si="0"/>
        <v>28</v>
      </c>
      <c r="B23" s="7">
        <v>40</v>
      </c>
      <c r="C23" s="7" t="s">
        <v>857</v>
      </c>
      <c r="D23" s="11" t="s">
        <v>839</v>
      </c>
    </row>
    <row r="24" spans="1:13">
      <c r="A24" s="7" t="str">
        <f t="shared" si="0"/>
        <v>2A</v>
      </c>
      <c r="B24" s="7">
        <v>42</v>
      </c>
      <c r="C24" s="7" t="s">
        <v>858</v>
      </c>
      <c r="D24" s="11" t="s">
        <v>839</v>
      </c>
      <c r="M24" s="4"/>
    </row>
    <row r="25" spans="1:13">
      <c r="A25" s="7" t="str">
        <f t="shared" si="0"/>
        <v>2C</v>
      </c>
      <c r="B25" s="7">
        <v>44</v>
      </c>
      <c r="C25" s="7" t="s">
        <v>859</v>
      </c>
      <c r="D25" s="11" t="s">
        <v>839</v>
      </c>
      <c r="M25" s="4"/>
    </row>
    <row r="26" spans="1:13">
      <c r="A26" s="7" t="str">
        <f t="shared" si="0"/>
        <v>2E</v>
      </c>
      <c r="B26" s="7">
        <v>46</v>
      </c>
      <c r="C26" s="7" t="s">
        <v>860</v>
      </c>
      <c r="D26" s="11" t="s">
        <v>839</v>
      </c>
      <c r="M26" s="4"/>
    </row>
    <row r="27" spans="1:13">
      <c r="A27" s="7" t="str">
        <f t="shared" ref="A27:A28" si="1">DEC2HEX(B27)</f>
        <v>30</v>
      </c>
      <c r="B27" s="7">
        <v>48</v>
      </c>
      <c r="C27" s="7" t="s">
        <v>861</v>
      </c>
      <c r="D27" s="11" t="s">
        <v>839</v>
      </c>
      <c r="M27" s="4"/>
    </row>
    <row r="28" spans="1:13">
      <c r="A28" s="7" t="str">
        <f t="shared" si="1"/>
        <v>32</v>
      </c>
      <c r="B28" s="7">
        <v>50</v>
      </c>
      <c r="C28" s="7" t="s">
        <v>862</v>
      </c>
      <c r="D28" s="11" t="s">
        <v>839</v>
      </c>
      <c r="M28" s="4"/>
    </row>
    <row r="29" spans="1:13">
      <c r="A29" s="7"/>
      <c r="B29" s="7"/>
      <c r="C29" s="198"/>
      <c r="D29" s="11"/>
      <c r="M29" s="4"/>
    </row>
    <row r="30" spans="1:13">
      <c r="A30" s="37"/>
      <c r="B30" s="37"/>
      <c r="C30" s="37"/>
      <c r="D30" s="218"/>
      <c r="M30" s="4"/>
    </row>
    <row r="31" spans="1:13">
      <c r="A31" s="37"/>
      <c r="B31" s="37"/>
      <c r="C31" s="37"/>
      <c r="D31" s="218"/>
      <c r="M31" s="4"/>
    </row>
    <row r="32" spans="1:13" ht="14.4" thickBot="1">
      <c r="M32" s="4"/>
    </row>
    <row r="33" spans="1:13">
      <c r="A33" s="376" t="s">
        <v>234</v>
      </c>
      <c r="B33" s="377"/>
      <c r="C33" s="377"/>
      <c r="D33" s="377"/>
      <c r="M33" s="4"/>
    </row>
    <row r="34" spans="1:13">
      <c r="A34" s="36" t="s">
        <v>74</v>
      </c>
      <c r="B34" s="17" t="s">
        <v>75</v>
      </c>
      <c r="C34" s="35" t="s">
        <v>232</v>
      </c>
      <c r="D34" s="35" t="s">
        <v>78</v>
      </c>
      <c r="M34" s="4"/>
    </row>
    <row r="35" spans="1:13">
      <c r="A35" s="7" t="str">
        <f>DEC2HEX(B35)</f>
        <v>0</v>
      </c>
      <c r="B35" s="7">
        <v>0</v>
      </c>
      <c r="C35" s="7" t="s">
        <v>865</v>
      </c>
      <c r="D35" s="11" t="s">
        <v>236</v>
      </c>
      <c r="M35" s="4"/>
    </row>
    <row r="36" spans="1:13">
      <c r="A36" s="7" t="str">
        <f t="shared" ref="A36:A60" si="2">DEC2HEX(B36)</f>
        <v>2</v>
      </c>
      <c r="B36" s="7">
        <v>2</v>
      </c>
      <c r="C36" s="7" t="s">
        <v>866</v>
      </c>
      <c r="D36" s="11" t="s">
        <v>236</v>
      </c>
      <c r="M36" s="4"/>
    </row>
    <row r="37" spans="1:13">
      <c r="A37" s="7" t="str">
        <f t="shared" si="2"/>
        <v>4</v>
      </c>
      <c r="B37" s="7">
        <v>4</v>
      </c>
      <c r="C37" s="7" t="s">
        <v>863</v>
      </c>
      <c r="D37" s="11" t="s">
        <v>236</v>
      </c>
      <c r="M37" s="4"/>
    </row>
    <row r="38" spans="1:13">
      <c r="A38" s="7" t="str">
        <f t="shared" si="2"/>
        <v>6</v>
      </c>
      <c r="B38" s="7">
        <v>6</v>
      </c>
      <c r="C38" s="7" t="s">
        <v>864</v>
      </c>
      <c r="D38" s="11" t="s">
        <v>236</v>
      </c>
      <c r="M38" s="4"/>
    </row>
    <row r="39" spans="1:13">
      <c r="A39" s="7" t="str">
        <f t="shared" si="2"/>
        <v>8</v>
      </c>
      <c r="B39" s="7">
        <v>8</v>
      </c>
      <c r="C39" s="7" t="s">
        <v>841</v>
      </c>
      <c r="D39" s="11" t="s">
        <v>236</v>
      </c>
      <c r="M39" s="4"/>
    </row>
    <row r="40" spans="1:13">
      <c r="A40" s="7" t="str">
        <f t="shared" si="2"/>
        <v>A</v>
      </c>
      <c r="B40" s="7">
        <v>10</v>
      </c>
      <c r="C40" s="7" t="s">
        <v>842</v>
      </c>
      <c r="D40" s="11" t="s">
        <v>236</v>
      </c>
      <c r="M40" s="4"/>
    </row>
    <row r="41" spans="1:13">
      <c r="A41" s="7" t="str">
        <f t="shared" si="2"/>
        <v>C</v>
      </c>
      <c r="B41" s="7">
        <v>12</v>
      </c>
      <c r="C41" s="7" t="s">
        <v>843</v>
      </c>
      <c r="D41" s="11" t="s">
        <v>236</v>
      </c>
      <c r="M41" s="4"/>
    </row>
    <row r="42" spans="1:13">
      <c r="A42" s="7" t="str">
        <f t="shared" si="2"/>
        <v>E</v>
      </c>
      <c r="B42" s="7">
        <v>14</v>
      </c>
      <c r="C42" s="7" t="s">
        <v>844</v>
      </c>
      <c r="D42" s="11" t="s">
        <v>236</v>
      </c>
      <c r="M42" s="4"/>
    </row>
    <row r="43" spans="1:13">
      <c r="A43" s="7" t="str">
        <f t="shared" si="2"/>
        <v>10</v>
      </c>
      <c r="B43" s="7">
        <v>16</v>
      </c>
      <c r="C43" s="7" t="s">
        <v>845</v>
      </c>
      <c r="D43" s="11" t="s">
        <v>839</v>
      </c>
      <c r="M43" s="4"/>
    </row>
    <row r="44" spans="1:13">
      <c r="A44" s="7" t="str">
        <f t="shared" si="2"/>
        <v>12</v>
      </c>
      <c r="B44" s="7">
        <v>18</v>
      </c>
      <c r="C44" s="7" t="s">
        <v>846</v>
      </c>
      <c r="D44" s="11" t="s">
        <v>839</v>
      </c>
      <c r="M44" s="4"/>
    </row>
    <row r="45" spans="1:13">
      <c r="A45" s="7" t="str">
        <f t="shared" si="2"/>
        <v>14</v>
      </c>
      <c r="B45" s="7">
        <v>20</v>
      </c>
      <c r="C45" s="7" t="s">
        <v>847</v>
      </c>
      <c r="D45" s="11" t="s">
        <v>839</v>
      </c>
      <c r="M45" s="4"/>
    </row>
    <row r="46" spans="1:13">
      <c r="A46" s="7" t="str">
        <f t="shared" si="2"/>
        <v>16</v>
      </c>
      <c r="B46" s="7">
        <v>22</v>
      </c>
      <c r="C46" s="7" t="s">
        <v>848</v>
      </c>
      <c r="D46" s="11" t="s">
        <v>839</v>
      </c>
      <c r="M46" s="4"/>
    </row>
    <row r="47" spans="1:13">
      <c r="A47" s="7" t="str">
        <f t="shared" si="2"/>
        <v>18</v>
      </c>
      <c r="B47" s="7">
        <v>24</v>
      </c>
      <c r="C47" s="7" t="s">
        <v>849</v>
      </c>
      <c r="D47" s="11" t="s">
        <v>839</v>
      </c>
      <c r="M47" s="4"/>
    </row>
    <row r="48" spans="1:13">
      <c r="A48" s="7" t="str">
        <f t="shared" si="2"/>
        <v>1A</v>
      </c>
      <c r="B48" s="7">
        <v>26</v>
      </c>
      <c r="C48" s="7" t="s">
        <v>850</v>
      </c>
      <c r="D48" s="11" t="s">
        <v>839</v>
      </c>
      <c r="M48" s="4"/>
    </row>
    <row r="49" spans="1:13">
      <c r="A49" s="7" t="str">
        <f t="shared" si="2"/>
        <v>1C</v>
      </c>
      <c r="B49" s="7">
        <v>28</v>
      </c>
      <c r="C49" s="7" t="s">
        <v>851</v>
      </c>
      <c r="D49" s="11" t="s">
        <v>839</v>
      </c>
      <c r="M49" s="4"/>
    </row>
    <row r="50" spans="1:13">
      <c r="A50" s="7" t="str">
        <f t="shared" si="2"/>
        <v>1E</v>
      </c>
      <c r="B50" s="7">
        <v>30</v>
      </c>
      <c r="C50" s="7" t="s">
        <v>852</v>
      </c>
      <c r="D50" s="11" t="s">
        <v>839</v>
      </c>
      <c r="M50" s="4"/>
    </row>
    <row r="51" spans="1:13">
      <c r="A51" s="7" t="str">
        <f t="shared" si="2"/>
        <v>20</v>
      </c>
      <c r="B51" s="7">
        <v>32</v>
      </c>
      <c r="C51" s="7" t="s">
        <v>853</v>
      </c>
      <c r="D51" s="11" t="s">
        <v>839</v>
      </c>
    </row>
    <row r="52" spans="1:13">
      <c r="A52" s="7" t="str">
        <f t="shared" si="2"/>
        <v>22</v>
      </c>
      <c r="B52" s="7">
        <v>34</v>
      </c>
      <c r="C52" s="7" t="s">
        <v>854</v>
      </c>
      <c r="D52" s="11" t="s">
        <v>839</v>
      </c>
    </row>
    <row r="53" spans="1:13">
      <c r="A53" s="7" t="str">
        <f t="shared" si="2"/>
        <v>24</v>
      </c>
      <c r="B53" s="7">
        <v>36</v>
      </c>
      <c r="C53" s="7" t="s">
        <v>855</v>
      </c>
      <c r="D53" s="11" t="s">
        <v>839</v>
      </c>
    </row>
    <row r="54" spans="1:13">
      <c r="A54" s="7" t="str">
        <f t="shared" si="2"/>
        <v>26</v>
      </c>
      <c r="B54" s="7">
        <v>38</v>
      </c>
      <c r="C54" s="7" t="s">
        <v>856</v>
      </c>
      <c r="D54" s="11" t="s">
        <v>839</v>
      </c>
    </row>
    <row r="55" spans="1:13">
      <c r="A55" s="7" t="str">
        <f t="shared" si="2"/>
        <v>28</v>
      </c>
      <c r="B55" s="7">
        <v>40</v>
      </c>
      <c r="C55" s="7" t="s">
        <v>857</v>
      </c>
      <c r="D55" s="11" t="s">
        <v>839</v>
      </c>
    </row>
    <row r="56" spans="1:13">
      <c r="A56" s="7" t="str">
        <f t="shared" si="2"/>
        <v>2A</v>
      </c>
      <c r="B56" s="7">
        <v>42</v>
      </c>
      <c r="C56" s="7" t="s">
        <v>858</v>
      </c>
      <c r="D56" s="11" t="s">
        <v>839</v>
      </c>
    </row>
    <row r="57" spans="1:13">
      <c r="A57" s="7" t="str">
        <f t="shared" si="2"/>
        <v>2C</v>
      </c>
      <c r="B57" s="7">
        <v>44</v>
      </c>
      <c r="C57" s="7" t="s">
        <v>859</v>
      </c>
      <c r="D57" s="11" t="s">
        <v>839</v>
      </c>
    </row>
    <row r="58" spans="1:13">
      <c r="A58" s="7" t="str">
        <f t="shared" si="2"/>
        <v>2E</v>
      </c>
      <c r="B58" s="7">
        <v>46</v>
      </c>
      <c r="C58" s="7" t="s">
        <v>860</v>
      </c>
      <c r="D58" s="11" t="s">
        <v>839</v>
      </c>
    </row>
    <row r="59" spans="1:13">
      <c r="A59" s="7" t="str">
        <f t="shared" si="2"/>
        <v>30</v>
      </c>
      <c r="B59" s="7">
        <v>48</v>
      </c>
      <c r="C59" s="7" t="s">
        <v>861</v>
      </c>
      <c r="D59" s="11" t="s">
        <v>839</v>
      </c>
    </row>
    <row r="60" spans="1:13">
      <c r="A60" s="7" t="str">
        <f t="shared" si="2"/>
        <v>32</v>
      </c>
      <c r="B60" s="7">
        <v>50</v>
      </c>
      <c r="C60" s="7" t="s">
        <v>862</v>
      </c>
      <c r="D60" s="11" t="s">
        <v>839</v>
      </c>
    </row>
    <row r="63" spans="1:13" ht="14.4" thickBot="1"/>
    <row r="64" spans="1:13">
      <c r="A64" s="376" t="s">
        <v>233</v>
      </c>
      <c r="B64" s="377"/>
      <c r="C64" s="377"/>
      <c r="D64" s="377"/>
    </row>
    <row r="65" spans="1:4">
      <c r="A65" s="36" t="s">
        <v>74</v>
      </c>
      <c r="B65" s="17" t="s">
        <v>75</v>
      </c>
      <c r="C65" s="35" t="s">
        <v>232</v>
      </c>
      <c r="D65" s="35" t="s">
        <v>78</v>
      </c>
    </row>
    <row r="66" spans="1:4">
      <c r="A66" s="7" t="str">
        <f>DEC2HEX(B66)</f>
        <v>0</v>
      </c>
      <c r="B66" s="7">
        <v>0</v>
      </c>
      <c r="C66" s="7" t="s">
        <v>865</v>
      </c>
      <c r="D66" s="11" t="s">
        <v>236</v>
      </c>
    </row>
    <row r="67" spans="1:4">
      <c r="A67" s="7" t="str">
        <f t="shared" ref="A67:A91" si="3">DEC2HEX(B67)</f>
        <v>2</v>
      </c>
      <c r="B67" s="7">
        <v>2</v>
      </c>
      <c r="C67" s="7" t="s">
        <v>866</v>
      </c>
      <c r="D67" s="11" t="s">
        <v>236</v>
      </c>
    </row>
    <row r="68" spans="1:4">
      <c r="A68" s="7" t="str">
        <f t="shared" si="3"/>
        <v>4</v>
      </c>
      <c r="B68" s="7">
        <v>4</v>
      </c>
      <c r="C68" s="7" t="s">
        <v>863</v>
      </c>
      <c r="D68" s="11" t="s">
        <v>236</v>
      </c>
    </row>
    <row r="69" spans="1:4">
      <c r="A69" s="7" t="str">
        <f t="shared" si="3"/>
        <v>6</v>
      </c>
      <c r="B69" s="7">
        <v>6</v>
      </c>
      <c r="C69" s="7" t="s">
        <v>864</v>
      </c>
      <c r="D69" s="11" t="s">
        <v>236</v>
      </c>
    </row>
    <row r="70" spans="1:4">
      <c r="A70" s="7" t="str">
        <f t="shared" si="3"/>
        <v>8</v>
      </c>
      <c r="B70" s="7">
        <v>8</v>
      </c>
      <c r="C70" s="7" t="s">
        <v>841</v>
      </c>
      <c r="D70" s="11" t="s">
        <v>236</v>
      </c>
    </row>
    <row r="71" spans="1:4">
      <c r="A71" s="7" t="str">
        <f t="shared" si="3"/>
        <v>A</v>
      </c>
      <c r="B71" s="7">
        <v>10</v>
      </c>
      <c r="C71" s="7" t="s">
        <v>842</v>
      </c>
      <c r="D71" s="11" t="s">
        <v>236</v>
      </c>
    </row>
    <row r="72" spans="1:4">
      <c r="A72" s="7" t="str">
        <f t="shared" si="3"/>
        <v>C</v>
      </c>
      <c r="B72" s="7">
        <v>12</v>
      </c>
      <c r="C72" s="7" t="s">
        <v>843</v>
      </c>
      <c r="D72" s="11" t="s">
        <v>236</v>
      </c>
    </row>
    <row r="73" spans="1:4">
      <c r="A73" s="7" t="str">
        <f t="shared" si="3"/>
        <v>E</v>
      </c>
      <c r="B73" s="7">
        <v>14</v>
      </c>
      <c r="C73" s="7" t="s">
        <v>844</v>
      </c>
      <c r="D73" s="11" t="s">
        <v>236</v>
      </c>
    </row>
    <row r="74" spans="1:4">
      <c r="A74" s="7" t="str">
        <f t="shared" si="3"/>
        <v>10</v>
      </c>
      <c r="B74" s="7">
        <v>16</v>
      </c>
      <c r="C74" s="7" t="s">
        <v>845</v>
      </c>
      <c r="D74" s="11" t="s">
        <v>839</v>
      </c>
    </row>
    <row r="75" spans="1:4">
      <c r="A75" s="7" t="str">
        <f t="shared" si="3"/>
        <v>12</v>
      </c>
      <c r="B75" s="7">
        <v>18</v>
      </c>
      <c r="C75" s="7" t="s">
        <v>846</v>
      </c>
      <c r="D75" s="11" t="s">
        <v>839</v>
      </c>
    </row>
    <row r="76" spans="1:4">
      <c r="A76" s="7" t="str">
        <f t="shared" si="3"/>
        <v>14</v>
      </c>
      <c r="B76" s="7">
        <v>20</v>
      </c>
      <c r="C76" s="7" t="s">
        <v>847</v>
      </c>
      <c r="D76" s="11" t="s">
        <v>839</v>
      </c>
    </row>
    <row r="77" spans="1:4">
      <c r="A77" s="7" t="str">
        <f t="shared" si="3"/>
        <v>16</v>
      </c>
      <c r="B77" s="7">
        <v>22</v>
      </c>
      <c r="C77" s="7" t="s">
        <v>848</v>
      </c>
      <c r="D77" s="11" t="s">
        <v>839</v>
      </c>
    </row>
    <row r="78" spans="1:4">
      <c r="A78" s="7" t="str">
        <f t="shared" si="3"/>
        <v>18</v>
      </c>
      <c r="B78" s="7">
        <v>24</v>
      </c>
      <c r="C78" s="7" t="s">
        <v>849</v>
      </c>
      <c r="D78" s="11" t="s">
        <v>839</v>
      </c>
    </row>
    <row r="79" spans="1:4">
      <c r="A79" s="7" t="str">
        <f t="shared" si="3"/>
        <v>1A</v>
      </c>
      <c r="B79" s="7">
        <v>26</v>
      </c>
      <c r="C79" s="7" t="s">
        <v>850</v>
      </c>
      <c r="D79" s="11" t="s">
        <v>839</v>
      </c>
    </row>
    <row r="80" spans="1:4">
      <c r="A80" s="7" t="str">
        <f t="shared" si="3"/>
        <v>1C</v>
      </c>
      <c r="B80" s="7">
        <v>28</v>
      </c>
      <c r="C80" s="7" t="s">
        <v>851</v>
      </c>
      <c r="D80" s="11" t="s">
        <v>839</v>
      </c>
    </row>
    <row r="81" spans="1:4">
      <c r="A81" s="7" t="str">
        <f t="shared" si="3"/>
        <v>1E</v>
      </c>
      <c r="B81" s="7">
        <v>30</v>
      </c>
      <c r="C81" s="7" t="s">
        <v>852</v>
      </c>
      <c r="D81" s="11" t="s">
        <v>839</v>
      </c>
    </row>
    <row r="82" spans="1:4">
      <c r="A82" s="7" t="str">
        <f t="shared" si="3"/>
        <v>20</v>
      </c>
      <c r="B82" s="7">
        <v>32</v>
      </c>
      <c r="C82" s="7" t="s">
        <v>853</v>
      </c>
      <c r="D82" s="11" t="s">
        <v>839</v>
      </c>
    </row>
    <row r="83" spans="1:4">
      <c r="A83" s="7" t="str">
        <f t="shared" si="3"/>
        <v>22</v>
      </c>
      <c r="B83" s="7">
        <v>34</v>
      </c>
      <c r="C83" s="7" t="s">
        <v>854</v>
      </c>
      <c r="D83" s="11" t="s">
        <v>839</v>
      </c>
    </row>
    <row r="84" spans="1:4">
      <c r="A84" s="7" t="str">
        <f t="shared" si="3"/>
        <v>24</v>
      </c>
      <c r="B84" s="7">
        <v>36</v>
      </c>
      <c r="C84" s="7" t="s">
        <v>855</v>
      </c>
      <c r="D84" s="11" t="s">
        <v>839</v>
      </c>
    </row>
    <row r="85" spans="1:4">
      <c r="A85" s="7" t="str">
        <f t="shared" si="3"/>
        <v>26</v>
      </c>
      <c r="B85" s="7">
        <v>38</v>
      </c>
      <c r="C85" s="7" t="s">
        <v>856</v>
      </c>
      <c r="D85" s="11" t="s">
        <v>839</v>
      </c>
    </row>
    <row r="86" spans="1:4">
      <c r="A86" s="7" t="str">
        <f t="shared" si="3"/>
        <v>28</v>
      </c>
      <c r="B86" s="7">
        <v>40</v>
      </c>
      <c r="C86" s="7" t="s">
        <v>857</v>
      </c>
      <c r="D86" s="11" t="s">
        <v>839</v>
      </c>
    </row>
    <row r="87" spans="1:4">
      <c r="A87" s="7" t="str">
        <f t="shared" si="3"/>
        <v>2A</v>
      </c>
      <c r="B87" s="7">
        <v>42</v>
      </c>
      <c r="C87" s="7" t="s">
        <v>858</v>
      </c>
      <c r="D87" s="11" t="s">
        <v>839</v>
      </c>
    </row>
    <row r="88" spans="1:4">
      <c r="A88" s="7" t="str">
        <f t="shared" si="3"/>
        <v>2C</v>
      </c>
      <c r="B88" s="7">
        <v>44</v>
      </c>
      <c r="C88" s="7" t="s">
        <v>859</v>
      </c>
      <c r="D88" s="11" t="s">
        <v>839</v>
      </c>
    </row>
    <row r="89" spans="1:4">
      <c r="A89" s="7" t="str">
        <f t="shared" si="3"/>
        <v>2E</v>
      </c>
      <c r="B89" s="7">
        <v>46</v>
      </c>
      <c r="C89" s="7" t="s">
        <v>860</v>
      </c>
      <c r="D89" s="11" t="s">
        <v>839</v>
      </c>
    </row>
    <row r="90" spans="1:4">
      <c r="A90" s="7" t="str">
        <f t="shared" si="3"/>
        <v>30</v>
      </c>
      <c r="B90" s="7">
        <v>48</v>
      </c>
      <c r="C90" s="7" t="s">
        <v>861</v>
      </c>
      <c r="D90" s="11" t="s">
        <v>839</v>
      </c>
    </row>
    <row r="91" spans="1:4">
      <c r="A91" s="7" t="str">
        <f t="shared" si="3"/>
        <v>32</v>
      </c>
      <c r="B91" s="7">
        <v>50</v>
      </c>
      <c r="C91" s="7" t="s">
        <v>862</v>
      </c>
      <c r="D91" s="11" t="s">
        <v>839</v>
      </c>
    </row>
  </sheetData>
  <mergeCells count="3">
    <mergeCell ref="A1:D1"/>
    <mergeCell ref="A33:D33"/>
    <mergeCell ref="A64:D64"/>
  </mergeCells>
  <phoneticPr fontId="3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D5A14-B9A5-405C-A703-A941882B0658}">
  <sheetPr>
    <tabColor rgb="FF00B050"/>
  </sheetPr>
  <dimension ref="A1:E12"/>
  <sheetViews>
    <sheetView zoomScale="85" zoomScaleNormal="85" workbookViewId="0">
      <pane ySplit="1" topLeftCell="A2" activePane="bottomLeft" state="frozen"/>
      <selection activeCell="C43" sqref="C43"/>
      <selection pane="bottomLeft" activeCell="G21" sqref="G21"/>
    </sheetView>
  </sheetViews>
  <sheetFormatPr defaultColWidth="9" defaultRowHeight="13.8"/>
  <cols>
    <col min="1" max="1" width="11" style="4" bestFit="1" customWidth="1"/>
    <col min="2" max="2" width="11.109375" style="22" bestFit="1" customWidth="1"/>
    <col min="3" max="3" width="20.21875" style="22" bestFit="1" customWidth="1"/>
    <col min="4" max="4" width="9" style="4"/>
    <col min="5" max="5" width="69.77734375" style="4" customWidth="1"/>
    <col min="6" max="16384" width="9" style="4"/>
  </cols>
  <sheetData>
    <row r="1" spans="1:5">
      <c r="A1" s="378" t="s">
        <v>704</v>
      </c>
      <c r="B1" s="379"/>
      <c r="C1" s="379"/>
      <c r="D1" s="379"/>
      <c r="E1" s="379"/>
    </row>
    <row r="2" spans="1:5">
      <c r="A2" s="148" t="s">
        <v>74</v>
      </c>
      <c r="B2" s="259" t="s">
        <v>75</v>
      </c>
      <c r="C2" s="265" t="s">
        <v>657</v>
      </c>
      <c r="D2" s="202" t="s">
        <v>78</v>
      </c>
      <c r="E2" s="202" t="s">
        <v>659</v>
      </c>
    </row>
    <row r="3" spans="1:5">
      <c r="A3" s="203" t="str">
        <f>DEC2HEX(B3)</f>
        <v>0</v>
      </c>
      <c r="B3" s="260">
        <v>0</v>
      </c>
      <c r="C3" s="260" t="s">
        <v>917</v>
      </c>
      <c r="D3" s="204" t="s">
        <v>82</v>
      </c>
      <c r="E3" s="26" t="s">
        <v>660</v>
      </c>
    </row>
    <row r="4" spans="1:5">
      <c r="A4" s="203" t="str">
        <f t="shared" ref="A4:A5" si="0">DEC2HEX(B4)</f>
        <v>4</v>
      </c>
      <c r="B4" s="260">
        <v>4</v>
      </c>
      <c r="C4" s="260" t="s">
        <v>918</v>
      </c>
      <c r="D4" s="204" t="s">
        <v>82</v>
      </c>
      <c r="E4" s="26" t="s">
        <v>661</v>
      </c>
    </row>
    <row r="5" spans="1:5">
      <c r="A5" s="199" t="str">
        <f t="shared" si="0"/>
        <v>8</v>
      </c>
      <c r="B5" s="261">
        <v>8</v>
      </c>
      <c r="C5" s="297" t="s">
        <v>919</v>
      </c>
      <c r="D5" s="199" t="s">
        <v>662</v>
      </c>
      <c r="E5" s="205" t="s">
        <v>663</v>
      </c>
    </row>
    <row r="6" spans="1:5">
      <c r="A6" s="5"/>
      <c r="B6" s="262"/>
      <c r="C6" s="262"/>
      <c r="D6" s="5"/>
      <c r="E6" s="5"/>
    </row>
    <row r="7" spans="1:5">
      <c r="A7" s="5"/>
      <c r="B7" s="262"/>
      <c r="C7" s="262"/>
      <c r="D7" s="5"/>
      <c r="E7" s="5"/>
    </row>
    <row r="8" spans="1:5">
      <c r="A8" s="380" t="s">
        <v>705</v>
      </c>
      <c r="B8" s="380"/>
      <c r="C8" s="380"/>
      <c r="D8" s="380"/>
      <c r="E8" s="380"/>
    </row>
    <row r="9" spans="1:5">
      <c r="A9" s="148" t="s">
        <v>74</v>
      </c>
      <c r="B9" s="259" t="s">
        <v>75</v>
      </c>
      <c r="C9" s="265" t="s">
        <v>657</v>
      </c>
      <c r="D9" s="202" t="s">
        <v>78</v>
      </c>
      <c r="E9" s="202" t="s">
        <v>659</v>
      </c>
    </row>
    <row r="10" spans="1:5">
      <c r="A10" s="206" t="str">
        <f>DEC2HEX(B10)</f>
        <v>0</v>
      </c>
      <c r="B10" s="263">
        <v>0</v>
      </c>
      <c r="C10" s="263" t="s">
        <v>914</v>
      </c>
      <c r="D10" s="207" t="s">
        <v>82</v>
      </c>
      <c r="E10" s="28" t="s">
        <v>660</v>
      </c>
    </row>
    <row r="11" spans="1:5">
      <c r="A11" s="206" t="str">
        <f t="shared" ref="A11:A12" si="1">DEC2HEX(B11)</f>
        <v>4</v>
      </c>
      <c r="B11" s="263">
        <v>4</v>
      </c>
      <c r="C11" s="263" t="s">
        <v>915</v>
      </c>
      <c r="D11" s="207" t="s">
        <v>82</v>
      </c>
      <c r="E11" s="28" t="s">
        <v>661</v>
      </c>
    </row>
    <row r="12" spans="1:5">
      <c r="A12" s="208" t="str">
        <f t="shared" si="1"/>
        <v>8</v>
      </c>
      <c r="B12" s="264">
        <v>8</v>
      </c>
      <c r="C12" s="296" t="s">
        <v>916</v>
      </c>
      <c r="D12" s="209" t="s">
        <v>662</v>
      </c>
      <c r="E12" s="205" t="s">
        <v>663</v>
      </c>
    </row>
  </sheetData>
  <mergeCells count="2">
    <mergeCell ref="A1:E1"/>
    <mergeCell ref="A8:E8"/>
  </mergeCells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090DA-1183-4C92-BA4D-A05D665D56DF}">
  <sheetPr>
    <tabColor theme="4" tint="0.39997558519241921"/>
  </sheetPr>
  <dimension ref="A1:P33"/>
  <sheetViews>
    <sheetView zoomScale="55" zoomScaleNormal="55" workbookViewId="0">
      <pane ySplit="1" topLeftCell="A12" activePane="bottomLeft" state="frozen"/>
      <selection pane="bottomLeft" activeCell="E34" sqref="E34"/>
    </sheetView>
  </sheetViews>
  <sheetFormatPr defaultColWidth="9" defaultRowHeight="13.8"/>
  <cols>
    <col min="1" max="1" width="9" style="4"/>
    <col min="2" max="2" width="17.77734375" style="4" bestFit="1" customWidth="1"/>
    <col min="3" max="3" width="9" style="4"/>
    <col min="4" max="4" width="36.21875" style="4" customWidth="1"/>
    <col min="5" max="7" width="9" style="4"/>
    <col min="8" max="9" width="9" style="4" customWidth="1"/>
    <col min="10" max="10" width="9" style="4"/>
    <col min="11" max="11" width="9" style="4" customWidth="1"/>
    <col min="12" max="12" width="9" style="4"/>
    <col min="13" max="13" width="29.44140625" style="4" customWidth="1"/>
    <col min="14" max="14" width="21.33203125" style="4" customWidth="1"/>
    <col min="15" max="15" width="21.5546875" style="4" customWidth="1"/>
    <col min="16" max="16" width="25.44140625" style="4" customWidth="1"/>
    <col min="17" max="16384" width="9" style="4"/>
  </cols>
  <sheetData>
    <row r="1" spans="1:16">
      <c r="A1" s="378" t="s">
        <v>676</v>
      </c>
      <c r="B1" s="379"/>
      <c r="C1" s="379"/>
      <c r="D1" s="379"/>
    </row>
    <row r="2" spans="1:16">
      <c r="A2" s="197" t="s">
        <v>677</v>
      </c>
      <c r="B2" s="201" t="s">
        <v>657</v>
      </c>
      <c r="C2" s="202" t="s">
        <v>78</v>
      </c>
      <c r="D2" s="202" t="s">
        <v>420</v>
      </c>
    </row>
    <row r="3" spans="1:16" ht="43.2" customHeight="1">
      <c r="A3" s="216">
        <v>0</v>
      </c>
      <c r="B3" s="199" t="s">
        <v>438</v>
      </c>
      <c r="C3" s="199" t="s">
        <v>447</v>
      </c>
      <c r="D3" s="159" t="s">
        <v>921</v>
      </c>
      <c r="E3" s="42"/>
    </row>
    <row r="4" spans="1:16">
      <c r="A4" s="5"/>
      <c r="B4" s="5"/>
      <c r="C4" s="5"/>
      <c r="D4" s="5"/>
    </row>
    <row r="5" spans="1:16">
      <c r="A5" s="5"/>
      <c r="B5" s="5"/>
      <c r="C5" s="5"/>
      <c r="D5" s="5"/>
    </row>
    <row r="6" spans="1:16">
      <c r="A6" s="378" t="s">
        <v>678</v>
      </c>
      <c r="B6" s="379"/>
      <c r="C6" s="379"/>
      <c r="D6" s="379"/>
    </row>
    <row r="7" spans="1:16">
      <c r="A7" s="197" t="s">
        <v>677</v>
      </c>
      <c r="B7" s="201" t="s">
        <v>657</v>
      </c>
      <c r="C7" s="202" t="s">
        <v>78</v>
      </c>
      <c r="D7" s="202" t="s">
        <v>420</v>
      </c>
    </row>
    <row r="8" spans="1:16" ht="27.6">
      <c r="A8" s="216">
        <v>0</v>
      </c>
      <c r="B8" s="199" t="s">
        <v>438</v>
      </c>
      <c r="C8" s="199" t="s">
        <v>447</v>
      </c>
      <c r="D8" s="159" t="s">
        <v>920</v>
      </c>
    </row>
    <row r="9" spans="1:16">
      <c r="A9" s="5"/>
      <c r="B9" s="5"/>
      <c r="C9" s="5"/>
      <c r="D9" s="5"/>
    </row>
    <row r="10" spans="1:16">
      <c r="A10" s="5"/>
      <c r="B10" s="5"/>
      <c r="C10" s="5"/>
      <c r="D10" s="5"/>
    </row>
    <row r="11" spans="1:16">
      <c r="A11" s="378" t="s">
        <v>679</v>
      </c>
      <c r="B11" s="379"/>
      <c r="C11" s="379"/>
      <c r="D11" s="379"/>
    </row>
    <row r="12" spans="1:16">
      <c r="A12" s="197" t="s">
        <v>677</v>
      </c>
      <c r="B12" s="201" t="s">
        <v>657</v>
      </c>
      <c r="C12" s="202" t="s">
        <v>78</v>
      </c>
      <c r="D12" s="202" t="s">
        <v>420</v>
      </c>
    </row>
    <row r="13" spans="1:16" ht="14.4" thickBot="1">
      <c r="A13" s="216">
        <v>0</v>
      </c>
      <c r="B13" s="199" t="s">
        <v>680</v>
      </c>
      <c r="C13" s="199" t="s">
        <v>389</v>
      </c>
      <c r="D13" s="159" t="s">
        <v>681</v>
      </c>
    </row>
    <row r="14" spans="1:16">
      <c r="A14" s="5"/>
      <c r="B14" s="5"/>
      <c r="C14" s="5"/>
      <c r="D14" s="5"/>
      <c r="M14" s="381" t="s">
        <v>1003</v>
      </c>
      <c r="N14" s="382"/>
      <c r="O14" s="382"/>
      <c r="P14" s="383"/>
    </row>
    <row r="15" spans="1:16" ht="14.4">
      <c r="A15" s="5"/>
      <c r="B15" s="5"/>
      <c r="C15" s="5"/>
      <c r="D15" s="5"/>
      <c r="M15" s="328" t="s">
        <v>1004</v>
      </c>
      <c r="N15" s="329" t="s">
        <v>1005</v>
      </c>
      <c r="O15" s="329" t="s">
        <v>1006</v>
      </c>
      <c r="P15" s="330" t="s">
        <v>1007</v>
      </c>
    </row>
    <row r="16" spans="1:16" ht="15" thickBot="1">
      <c r="A16" s="378" t="s">
        <v>682</v>
      </c>
      <c r="B16" s="379"/>
      <c r="C16" s="379"/>
      <c r="D16" s="379"/>
      <c r="M16" s="331" t="s">
        <v>1008</v>
      </c>
      <c r="N16" s="332" t="s">
        <v>1009</v>
      </c>
      <c r="O16" s="332" t="s">
        <v>1010</v>
      </c>
      <c r="P16" s="332" t="s">
        <v>1011</v>
      </c>
    </row>
    <row r="17" spans="1:16" ht="24.6" customHeight="1" thickBot="1">
      <c r="A17" s="197" t="s">
        <v>677</v>
      </c>
      <c r="B17" s="201" t="s">
        <v>657</v>
      </c>
      <c r="C17" s="202" t="s">
        <v>78</v>
      </c>
      <c r="D17" s="202" t="s">
        <v>420</v>
      </c>
      <c r="M17" s="331" t="s">
        <v>1018</v>
      </c>
      <c r="N17" s="332" t="s">
        <v>1020</v>
      </c>
      <c r="O17" s="332" t="s">
        <v>1012</v>
      </c>
      <c r="P17" s="332" t="s">
        <v>1013</v>
      </c>
    </row>
    <row r="18" spans="1:16" ht="16.2" thickBot="1">
      <c r="A18" s="216">
        <v>0</v>
      </c>
      <c r="B18" s="199" t="s">
        <v>683</v>
      </c>
      <c r="C18" s="199" t="s">
        <v>390</v>
      </c>
      <c r="D18" s="159" t="s">
        <v>684</v>
      </c>
      <c r="M18" s="331" t="s">
        <v>1019</v>
      </c>
      <c r="N18" s="332" t="s">
        <v>1014</v>
      </c>
      <c r="O18" s="332" t="s">
        <v>1015</v>
      </c>
      <c r="P18" s="332" t="s">
        <v>1016</v>
      </c>
    </row>
    <row r="19" spans="1:16" ht="16.2" thickBot="1">
      <c r="A19" s="5"/>
      <c r="B19" s="5"/>
      <c r="C19" s="5"/>
      <c r="D19" s="5"/>
      <c r="M19" s="333"/>
      <c r="N19" s="332" t="s">
        <v>1017</v>
      </c>
      <c r="O19" s="334"/>
      <c r="P19" s="334"/>
    </row>
    <row r="20" spans="1:16" ht="15" thickBot="1">
      <c r="A20" s="5"/>
      <c r="B20" s="5"/>
      <c r="C20" s="5"/>
      <c r="D20" s="5"/>
      <c r="M20" s="335"/>
      <c r="N20" s="336"/>
      <c r="O20" s="337"/>
      <c r="P20" s="338"/>
    </row>
    <row r="21" spans="1:16" ht="14.4" thickBot="1">
      <c r="A21" s="384" t="s">
        <v>685</v>
      </c>
      <c r="B21" s="385"/>
      <c r="C21" s="385"/>
      <c r="D21" s="385"/>
    </row>
    <row r="22" spans="1:16">
      <c r="A22" s="197" t="s">
        <v>677</v>
      </c>
      <c r="B22" s="201" t="s">
        <v>657</v>
      </c>
      <c r="C22" s="202" t="s">
        <v>78</v>
      </c>
      <c r="D22" s="202" t="s">
        <v>420</v>
      </c>
      <c r="F22" s="240"/>
      <c r="G22" s="241" t="s">
        <v>873</v>
      </c>
      <c r="H22" s="241" t="s">
        <v>874</v>
      </c>
      <c r="I22" s="242" t="s">
        <v>875</v>
      </c>
    </row>
    <row r="23" spans="1:16" ht="55.8" thickBot="1">
      <c r="A23" s="216">
        <v>0</v>
      </c>
      <c r="B23" s="199" t="s">
        <v>686</v>
      </c>
      <c r="C23" s="199" t="s">
        <v>447</v>
      </c>
      <c r="D23" s="159" t="s">
        <v>880</v>
      </c>
      <c r="F23" s="243" t="s">
        <v>876</v>
      </c>
      <c r="G23" s="244" t="s">
        <v>877</v>
      </c>
      <c r="H23" s="244" t="s">
        <v>878</v>
      </c>
      <c r="I23" s="245" t="s">
        <v>879</v>
      </c>
    </row>
    <row r="24" spans="1:16">
      <c r="A24" s="5"/>
      <c r="B24" s="5"/>
      <c r="C24" s="5"/>
      <c r="D24" s="5"/>
    </row>
    <row r="25" spans="1:16">
      <c r="A25" s="5"/>
      <c r="B25" s="5"/>
      <c r="C25" s="5"/>
      <c r="D25" s="5"/>
    </row>
    <row r="26" spans="1:16">
      <c r="A26" s="384" t="s">
        <v>687</v>
      </c>
      <c r="B26" s="385"/>
      <c r="C26" s="385"/>
      <c r="D26" s="385"/>
    </row>
    <row r="27" spans="1:16">
      <c r="A27" s="197" t="s">
        <v>677</v>
      </c>
      <c r="B27" s="201" t="s">
        <v>657</v>
      </c>
      <c r="C27" s="202" t="s">
        <v>78</v>
      </c>
      <c r="D27" s="202" t="s">
        <v>420</v>
      </c>
    </row>
    <row r="28" spans="1:16" ht="69">
      <c r="A28" s="216">
        <v>0</v>
      </c>
      <c r="B28" s="199" t="s">
        <v>32</v>
      </c>
      <c r="C28" s="199" t="s">
        <v>447</v>
      </c>
      <c r="D28" s="159" t="s">
        <v>881</v>
      </c>
      <c r="J28"/>
    </row>
    <row r="29" spans="1:16">
      <c r="A29" s="5"/>
      <c r="B29" s="5"/>
      <c r="C29" s="5"/>
      <c r="D29" s="5"/>
    </row>
    <row r="30" spans="1:16">
      <c r="A30" s="5"/>
      <c r="B30" s="5"/>
      <c r="C30" s="5"/>
      <c r="D30" s="5"/>
    </row>
    <row r="31" spans="1:16">
      <c r="A31" s="378" t="s">
        <v>688</v>
      </c>
      <c r="B31" s="379"/>
      <c r="C31" s="379"/>
      <c r="D31" s="379"/>
    </row>
    <row r="32" spans="1:16">
      <c r="A32" s="197" t="s">
        <v>677</v>
      </c>
      <c r="B32" s="201" t="s">
        <v>657</v>
      </c>
      <c r="C32" s="202" t="s">
        <v>78</v>
      </c>
      <c r="D32" s="202" t="s">
        <v>420</v>
      </c>
    </row>
    <row r="33" spans="1:4">
      <c r="A33" s="216">
        <v>0</v>
      </c>
      <c r="B33" s="199" t="s">
        <v>33</v>
      </c>
      <c r="C33" s="199" t="s">
        <v>447</v>
      </c>
      <c r="D33" s="159" t="s">
        <v>689</v>
      </c>
    </row>
  </sheetData>
  <mergeCells count="8">
    <mergeCell ref="M14:P14"/>
    <mergeCell ref="A31:D31"/>
    <mergeCell ref="A1:D1"/>
    <mergeCell ref="A6:D6"/>
    <mergeCell ref="A11:D11"/>
    <mergeCell ref="A16:D16"/>
    <mergeCell ref="A21:D21"/>
    <mergeCell ref="A26:D26"/>
  </mergeCells>
  <phoneticPr fontId="3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E591E-F943-4A8F-8923-C89E7962960D}">
  <sheetPr>
    <tabColor rgb="FF92D050"/>
  </sheetPr>
  <dimension ref="A1:L117"/>
  <sheetViews>
    <sheetView topLeftCell="F29" zoomScale="70" zoomScaleNormal="70" workbookViewId="0">
      <selection activeCell="G34" sqref="G34:K34"/>
    </sheetView>
  </sheetViews>
  <sheetFormatPr defaultColWidth="8.88671875" defaultRowHeight="13.8" outlineLevelCol="1"/>
  <cols>
    <col min="1" max="1" width="11" style="4" hidden="1" customWidth="1" outlineLevel="1"/>
    <col min="2" max="2" width="11.109375" style="4" hidden="1" customWidth="1" outlineLevel="1"/>
    <col min="3" max="3" width="36.21875" style="4" hidden="1" customWidth="1" outlineLevel="1"/>
    <col min="4" max="4" width="8.88671875" style="4" hidden="1" customWidth="1" outlineLevel="1"/>
    <col min="5" max="5" width="80" style="4" hidden="1" customWidth="1" outlineLevel="1"/>
    <col min="6" max="6" width="8.88671875" style="4" collapsed="1"/>
    <col min="7" max="7" width="13.21875" style="4" customWidth="1"/>
    <col min="8" max="8" width="14.109375" style="4" customWidth="1"/>
    <col min="9" max="9" width="39.77734375" style="127" customWidth="1"/>
    <col min="10" max="10" width="12" style="4" customWidth="1"/>
    <col min="11" max="11" width="60" style="4" customWidth="1"/>
    <col min="12" max="12" width="46" style="4" customWidth="1"/>
    <col min="13" max="16384" width="8.88671875" style="4"/>
  </cols>
  <sheetData>
    <row r="1" spans="1:11">
      <c r="A1" s="387" t="s">
        <v>419</v>
      </c>
      <c r="B1" s="388"/>
      <c r="C1" s="388"/>
      <c r="D1" s="388"/>
      <c r="E1" s="388"/>
      <c r="G1" s="389" t="s">
        <v>721</v>
      </c>
      <c r="H1" s="390"/>
      <c r="I1" s="390"/>
      <c r="J1" s="390"/>
      <c r="K1" s="390"/>
    </row>
    <row r="2" spans="1:11">
      <c r="A2" s="40" t="s">
        <v>74</v>
      </c>
      <c r="B2" s="40" t="s">
        <v>75</v>
      </c>
      <c r="C2" s="97" t="s">
        <v>232</v>
      </c>
      <c r="D2" s="98" t="s">
        <v>78</v>
      </c>
      <c r="E2" s="98" t="s">
        <v>420</v>
      </c>
      <c r="G2" s="40" t="s">
        <v>74</v>
      </c>
      <c r="H2" s="40" t="s">
        <v>75</v>
      </c>
      <c r="I2" s="99" t="s">
        <v>232</v>
      </c>
      <c r="J2" s="98" t="s">
        <v>78</v>
      </c>
      <c r="K2" s="98" t="s">
        <v>420</v>
      </c>
    </row>
    <row r="3" spans="1:11">
      <c r="A3" s="100" t="str">
        <f>DEC2HEX(B3)</f>
        <v>0</v>
      </c>
      <c r="B3" s="100">
        <v>0</v>
      </c>
      <c r="C3" s="101" t="s">
        <v>421</v>
      </c>
      <c r="D3" s="28" t="s">
        <v>82</v>
      </c>
      <c r="E3" s="28"/>
      <c r="G3" s="102" t="str">
        <f>DEC2HEX(H3)</f>
        <v>0</v>
      </c>
      <c r="H3" s="102">
        <v>0</v>
      </c>
      <c r="I3" s="103" t="s">
        <v>421</v>
      </c>
      <c r="J3" s="28" t="s">
        <v>82</v>
      </c>
      <c r="K3" s="104" t="s">
        <v>422</v>
      </c>
    </row>
    <row r="4" spans="1:11">
      <c r="A4" s="100" t="str">
        <f t="shared" ref="A4:A14" si="0">DEC2HEX(B4)</f>
        <v>4</v>
      </c>
      <c r="B4" s="100">
        <v>4</v>
      </c>
      <c r="C4" s="101" t="s">
        <v>423</v>
      </c>
      <c r="D4" s="28" t="s">
        <v>82</v>
      </c>
      <c r="E4" s="28"/>
      <c r="G4" s="102" t="str">
        <f t="shared" ref="G4:G18" si="1">DEC2HEX(H4)</f>
        <v>4</v>
      </c>
      <c r="H4" s="102">
        <v>4</v>
      </c>
      <c r="I4" s="103" t="s">
        <v>423</v>
      </c>
      <c r="J4" s="28" t="s">
        <v>82</v>
      </c>
      <c r="K4" s="104" t="s">
        <v>424</v>
      </c>
    </row>
    <row r="5" spans="1:11">
      <c r="A5" s="100" t="str">
        <f t="shared" si="0"/>
        <v>8</v>
      </c>
      <c r="B5" s="100">
        <v>8</v>
      </c>
      <c r="C5" s="101" t="s">
        <v>425</v>
      </c>
      <c r="D5" s="28" t="s">
        <v>82</v>
      </c>
      <c r="E5" s="28"/>
      <c r="G5" s="102" t="str">
        <f t="shared" si="1"/>
        <v>8</v>
      </c>
      <c r="H5" s="102">
        <v>8</v>
      </c>
      <c r="I5" s="103" t="s">
        <v>426</v>
      </c>
      <c r="J5" s="45" t="s">
        <v>82</v>
      </c>
      <c r="K5" s="105" t="s">
        <v>427</v>
      </c>
    </row>
    <row r="6" spans="1:11">
      <c r="A6" s="100" t="str">
        <f t="shared" si="0"/>
        <v>C</v>
      </c>
      <c r="B6" s="100">
        <v>12</v>
      </c>
      <c r="C6" s="101" t="s">
        <v>428</v>
      </c>
      <c r="D6" s="28" t="s">
        <v>389</v>
      </c>
      <c r="E6" s="28"/>
      <c r="G6" s="102" t="str">
        <f t="shared" si="1"/>
        <v>C</v>
      </c>
      <c r="H6" s="102">
        <v>12</v>
      </c>
      <c r="I6" s="106" t="s">
        <v>429</v>
      </c>
      <c r="J6" s="45" t="s">
        <v>231</v>
      </c>
      <c r="K6" s="45" t="s">
        <v>430</v>
      </c>
    </row>
    <row r="7" spans="1:11" ht="27.6">
      <c r="A7" s="100" t="str">
        <f t="shared" si="0"/>
        <v>E</v>
      </c>
      <c r="B7" s="100">
        <v>14</v>
      </c>
      <c r="C7" s="101" t="s">
        <v>431</v>
      </c>
      <c r="D7" s="28" t="s">
        <v>389</v>
      </c>
      <c r="E7" s="28"/>
      <c r="G7" s="102" t="str">
        <f t="shared" si="1"/>
        <v>10</v>
      </c>
      <c r="H7" s="102">
        <v>16</v>
      </c>
      <c r="I7" s="107" t="s">
        <v>432</v>
      </c>
      <c r="J7" s="45" t="s">
        <v>231</v>
      </c>
      <c r="K7" s="108" t="s">
        <v>433</v>
      </c>
    </row>
    <row r="8" spans="1:11" ht="69">
      <c r="A8" s="100" t="str">
        <f t="shared" si="0"/>
        <v>10</v>
      </c>
      <c r="B8" s="100">
        <v>16</v>
      </c>
      <c r="C8" s="109" t="s">
        <v>434</v>
      </c>
      <c r="D8" s="28" t="s">
        <v>82</v>
      </c>
      <c r="E8" s="110"/>
      <c r="G8" s="102" t="str">
        <f t="shared" si="1"/>
        <v>14</v>
      </c>
      <c r="H8" s="102">
        <v>20</v>
      </c>
      <c r="I8" s="107" t="s">
        <v>435</v>
      </c>
      <c r="J8" s="45" t="s">
        <v>436</v>
      </c>
      <c r="K8" s="111" t="s">
        <v>437</v>
      </c>
    </row>
    <row r="9" spans="1:11" ht="20.399999999999999" customHeight="1">
      <c r="A9" s="100" t="str">
        <f t="shared" si="0"/>
        <v>14</v>
      </c>
      <c r="B9" s="100">
        <v>20</v>
      </c>
      <c r="C9" s="101" t="s">
        <v>438</v>
      </c>
      <c r="D9" s="28" t="s">
        <v>439</v>
      </c>
      <c r="E9" s="110" t="s">
        <v>440</v>
      </c>
      <c r="G9" s="102" t="str">
        <f t="shared" si="1"/>
        <v>15</v>
      </c>
      <c r="H9" s="102">
        <v>21</v>
      </c>
      <c r="I9" s="107" t="s">
        <v>441</v>
      </c>
      <c r="J9" s="28" t="s">
        <v>442</v>
      </c>
      <c r="K9" s="110"/>
    </row>
    <row r="10" spans="1:11">
      <c r="A10" s="100" t="str">
        <f t="shared" si="0"/>
        <v>16</v>
      </c>
      <c r="B10" s="100">
        <v>22</v>
      </c>
      <c r="C10" s="39" t="s">
        <v>443</v>
      </c>
      <c r="D10" s="28" t="s">
        <v>389</v>
      </c>
      <c r="E10" s="28"/>
      <c r="G10" s="102" t="str">
        <f>DEC2HEX(H10)</f>
        <v>16</v>
      </c>
      <c r="H10" s="102">
        <v>22</v>
      </c>
      <c r="I10" s="107" t="s">
        <v>444</v>
      </c>
      <c r="J10" s="28" t="s">
        <v>389</v>
      </c>
      <c r="K10" s="104" t="s">
        <v>445</v>
      </c>
    </row>
    <row r="11" spans="1:11">
      <c r="A11" s="100" t="str">
        <f t="shared" si="0"/>
        <v>18</v>
      </c>
      <c r="B11" s="112">
        <v>24</v>
      </c>
      <c r="C11" s="101" t="s">
        <v>446</v>
      </c>
      <c r="D11" s="28" t="s">
        <v>447</v>
      </c>
      <c r="E11" s="28" t="s">
        <v>448</v>
      </c>
      <c r="G11" s="102" t="str">
        <f t="shared" si="1"/>
        <v>18</v>
      </c>
      <c r="H11" s="113">
        <v>24</v>
      </c>
      <c r="I11" s="107" t="s">
        <v>449</v>
      </c>
      <c r="J11" s="28" t="s">
        <v>450</v>
      </c>
      <c r="K11" s="104" t="s">
        <v>451</v>
      </c>
    </row>
    <row r="12" spans="1:11">
      <c r="A12" s="100" t="str">
        <f t="shared" si="0"/>
        <v>19</v>
      </c>
      <c r="B12" s="114">
        <v>25</v>
      </c>
      <c r="C12" s="115" t="s">
        <v>452</v>
      </c>
      <c r="D12" s="28" t="s">
        <v>447</v>
      </c>
      <c r="E12" s="28" t="s">
        <v>453</v>
      </c>
      <c r="G12" s="102" t="str">
        <f t="shared" si="1"/>
        <v>1A</v>
      </c>
      <c r="H12" s="116">
        <v>26</v>
      </c>
      <c r="I12" s="107" t="s">
        <v>454</v>
      </c>
      <c r="J12" s="28" t="s">
        <v>447</v>
      </c>
      <c r="K12" s="28" t="s">
        <v>448</v>
      </c>
    </row>
    <row r="13" spans="1:11" ht="27.6">
      <c r="A13" s="100" t="str">
        <f t="shared" si="0"/>
        <v>1A</v>
      </c>
      <c r="B13" s="100">
        <v>26</v>
      </c>
      <c r="C13" s="98" t="s">
        <v>455</v>
      </c>
      <c r="D13" s="28" t="s">
        <v>82</v>
      </c>
      <c r="E13" s="28"/>
      <c r="G13" s="102" t="str">
        <f t="shared" si="1"/>
        <v>1B</v>
      </c>
      <c r="H13" s="102">
        <v>27</v>
      </c>
      <c r="I13" s="107" t="s">
        <v>456</v>
      </c>
      <c r="J13" s="45" t="s">
        <v>436</v>
      </c>
      <c r="K13" s="110" t="s">
        <v>457</v>
      </c>
    </row>
    <row r="14" spans="1:11">
      <c r="A14" s="100" t="str">
        <f t="shared" si="0"/>
        <v>1E</v>
      </c>
      <c r="B14" s="100">
        <v>30</v>
      </c>
      <c r="C14" s="98" t="s">
        <v>458</v>
      </c>
      <c r="D14" s="28" t="s">
        <v>447</v>
      </c>
      <c r="E14" s="28"/>
      <c r="G14" s="102" t="str">
        <f t="shared" si="1"/>
        <v>1C</v>
      </c>
      <c r="H14" s="102">
        <v>28</v>
      </c>
      <c r="I14" s="117" t="s">
        <v>459</v>
      </c>
      <c r="J14" s="28" t="s">
        <v>447</v>
      </c>
      <c r="K14" s="28" t="s">
        <v>460</v>
      </c>
    </row>
    <row r="15" spans="1:11">
      <c r="G15" s="102" t="str">
        <f t="shared" si="1"/>
        <v>1D</v>
      </c>
      <c r="H15" s="102">
        <v>29</v>
      </c>
      <c r="I15" s="117" t="s">
        <v>461</v>
      </c>
      <c r="J15" s="28" t="s">
        <v>447</v>
      </c>
      <c r="K15" s="104" t="s">
        <v>462</v>
      </c>
    </row>
    <row r="16" spans="1:11">
      <c r="G16" s="102" t="str">
        <f t="shared" si="1"/>
        <v>1E</v>
      </c>
      <c r="H16" s="102">
        <v>30</v>
      </c>
      <c r="I16" s="117" t="s">
        <v>463</v>
      </c>
      <c r="J16" s="28" t="s">
        <v>464</v>
      </c>
      <c r="K16" s="104" t="s">
        <v>465</v>
      </c>
    </row>
    <row r="17" spans="1:11">
      <c r="G17" s="102" t="str">
        <f t="shared" si="1"/>
        <v>22</v>
      </c>
      <c r="H17" s="118">
        <v>34</v>
      </c>
      <c r="I17" s="119" t="s">
        <v>466</v>
      </c>
      <c r="J17" s="28" t="s">
        <v>447</v>
      </c>
      <c r="K17" s="104" t="s">
        <v>467</v>
      </c>
    </row>
    <row r="18" spans="1:11">
      <c r="G18" s="102" t="str">
        <f t="shared" si="1"/>
        <v>23</v>
      </c>
      <c r="H18" s="118">
        <v>35</v>
      </c>
      <c r="I18" s="117" t="s">
        <v>468</v>
      </c>
      <c r="J18" s="28" t="s">
        <v>464</v>
      </c>
      <c r="K18" s="104" t="s">
        <v>469</v>
      </c>
    </row>
    <row r="21" spans="1:11">
      <c r="A21" s="391" t="s">
        <v>470</v>
      </c>
      <c r="B21" s="392"/>
      <c r="C21" s="392"/>
      <c r="D21" s="392"/>
      <c r="E21" s="393"/>
      <c r="G21" s="394" t="s">
        <v>722</v>
      </c>
      <c r="H21" s="395"/>
      <c r="I21" s="395"/>
      <c r="J21" s="395"/>
      <c r="K21" s="396"/>
    </row>
    <row r="22" spans="1:11">
      <c r="A22" s="40" t="s">
        <v>74</v>
      </c>
      <c r="B22" s="40" t="s">
        <v>75</v>
      </c>
      <c r="C22" s="120" t="s">
        <v>232</v>
      </c>
      <c r="D22" s="98" t="s">
        <v>78</v>
      </c>
      <c r="E22" s="98" t="s">
        <v>420</v>
      </c>
      <c r="G22" s="40" t="s">
        <v>74</v>
      </c>
      <c r="H22" s="40" t="s">
        <v>75</v>
      </c>
      <c r="I22" s="120" t="s">
        <v>232</v>
      </c>
      <c r="J22" s="98" t="s">
        <v>78</v>
      </c>
      <c r="K22" s="98" t="s">
        <v>420</v>
      </c>
    </row>
    <row r="23" spans="1:11">
      <c r="A23" s="121" t="str">
        <f>DEC2HEX(B23)</f>
        <v>0</v>
      </c>
      <c r="B23" s="121">
        <v>0</v>
      </c>
      <c r="C23" s="97" t="s">
        <v>471</v>
      </c>
      <c r="D23" s="28" t="s">
        <v>82</v>
      </c>
      <c r="E23" s="28" t="s">
        <v>472</v>
      </c>
      <c r="G23" s="121" t="str">
        <f>DEC2HEX(H23)</f>
        <v>0</v>
      </c>
      <c r="H23" s="121">
        <v>0</v>
      </c>
      <c r="I23" s="97" t="s">
        <v>471</v>
      </c>
      <c r="J23" s="28" t="s">
        <v>82</v>
      </c>
      <c r="K23" s="251" t="s">
        <v>885</v>
      </c>
    </row>
    <row r="24" spans="1:11">
      <c r="A24" s="121" t="str">
        <f t="shared" ref="A24:A31" si="2">DEC2HEX(B24)</f>
        <v>4</v>
      </c>
      <c r="B24" s="121">
        <v>4</v>
      </c>
      <c r="C24" s="97" t="s">
        <v>473</v>
      </c>
      <c r="D24" s="28" t="s">
        <v>82</v>
      </c>
      <c r="E24" s="28" t="s">
        <v>474</v>
      </c>
      <c r="G24" s="121" t="str">
        <f t="shared" ref="G24:G26" si="3">DEC2HEX(H24)</f>
        <v>4</v>
      </c>
      <c r="H24" s="121">
        <v>4</v>
      </c>
      <c r="I24" s="97" t="s">
        <v>473</v>
      </c>
      <c r="J24" s="28" t="s">
        <v>82</v>
      </c>
      <c r="K24" s="252" t="s">
        <v>886</v>
      </c>
    </row>
    <row r="25" spans="1:11">
      <c r="A25" s="121" t="str">
        <f t="shared" si="2"/>
        <v>8</v>
      </c>
      <c r="B25" s="121">
        <v>8</v>
      </c>
      <c r="C25" s="97" t="s">
        <v>475</v>
      </c>
      <c r="D25" s="28" t="s">
        <v>82</v>
      </c>
      <c r="E25" s="28" t="s">
        <v>476</v>
      </c>
      <c r="G25" s="121" t="str">
        <f t="shared" si="3"/>
        <v>8</v>
      </c>
      <c r="H25" s="121">
        <v>8</v>
      </c>
      <c r="I25" s="97" t="s">
        <v>475</v>
      </c>
      <c r="J25" s="28" t="s">
        <v>82</v>
      </c>
      <c r="K25" s="252" t="s">
        <v>887</v>
      </c>
    </row>
    <row r="26" spans="1:11">
      <c r="A26" s="121" t="str">
        <f t="shared" si="2"/>
        <v>C</v>
      </c>
      <c r="B26" s="121">
        <v>12</v>
      </c>
      <c r="C26" s="97" t="s">
        <v>477</v>
      </c>
      <c r="D26" s="28" t="s">
        <v>82</v>
      </c>
      <c r="E26" s="28" t="s">
        <v>478</v>
      </c>
      <c r="G26" s="121" t="str">
        <f t="shared" si="3"/>
        <v>C</v>
      </c>
      <c r="H26" s="121">
        <v>12</v>
      </c>
      <c r="I26" s="97" t="s">
        <v>477</v>
      </c>
      <c r="J26" s="28" t="s">
        <v>82</v>
      </c>
      <c r="K26" s="252" t="s">
        <v>888</v>
      </c>
    </row>
    <row r="27" spans="1:11">
      <c r="A27" s="121" t="str">
        <f t="shared" si="2"/>
        <v>10</v>
      </c>
      <c r="B27" s="121">
        <v>16</v>
      </c>
      <c r="C27" s="122" t="s">
        <v>479</v>
      </c>
      <c r="D27" s="28" t="s">
        <v>82</v>
      </c>
      <c r="E27" s="28" t="s">
        <v>480</v>
      </c>
      <c r="G27" s="121" t="str">
        <f>DEC2HEX(H27)</f>
        <v>10</v>
      </c>
      <c r="H27" s="121">
        <v>16</v>
      </c>
      <c r="I27" s="98" t="s">
        <v>481</v>
      </c>
      <c r="J27" s="28" t="s">
        <v>82</v>
      </c>
      <c r="K27" s="28" t="s">
        <v>482</v>
      </c>
    </row>
    <row r="28" spans="1:11">
      <c r="A28" s="121" t="str">
        <f t="shared" si="2"/>
        <v>14</v>
      </c>
      <c r="B28" s="121">
        <v>20</v>
      </c>
      <c r="C28" s="123" t="s">
        <v>483</v>
      </c>
      <c r="D28" s="28" t="s">
        <v>82</v>
      </c>
      <c r="E28" s="28" t="s">
        <v>484</v>
      </c>
      <c r="G28" s="121" t="str">
        <f>DEC2HEX(H28)</f>
        <v>14</v>
      </c>
      <c r="H28" s="121">
        <v>20</v>
      </c>
      <c r="I28" s="98" t="s">
        <v>485</v>
      </c>
      <c r="J28" s="28" t="s">
        <v>82</v>
      </c>
      <c r="K28" s="28" t="s">
        <v>486</v>
      </c>
    </row>
    <row r="29" spans="1:11">
      <c r="A29" s="121" t="str">
        <f t="shared" si="2"/>
        <v>18</v>
      </c>
      <c r="B29" s="121">
        <v>24</v>
      </c>
      <c r="C29" s="123" t="s">
        <v>487</v>
      </c>
      <c r="D29" s="28" t="s">
        <v>82</v>
      </c>
      <c r="E29" s="28" t="s">
        <v>488</v>
      </c>
      <c r="G29" s="121" t="str">
        <f>DEC2HEX(H29)</f>
        <v>18</v>
      </c>
      <c r="H29" s="121">
        <v>24</v>
      </c>
      <c r="I29" s="124" t="s">
        <v>489</v>
      </c>
      <c r="J29" s="28" t="s">
        <v>82</v>
      </c>
      <c r="K29" s="28" t="s">
        <v>490</v>
      </c>
    </row>
    <row r="30" spans="1:11">
      <c r="A30" s="121" t="str">
        <f t="shared" si="2"/>
        <v>1C</v>
      </c>
      <c r="B30" s="121">
        <v>28</v>
      </c>
      <c r="C30" s="98" t="s">
        <v>491</v>
      </c>
      <c r="D30" s="28" t="s">
        <v>82</v>
      </c>
      <c r="E30" s="28" t="s">
        <v>482</v>
      </c>
      <c r="G30" s="121" t="str">
        <f>DEC2HEX(H30)</f>
        <v>1C</v>
      </c>
      <c r="H30" s="121">
        <v>28</v>
      </c>
      <c r="I30" s="122" t="s">
        <v>492</v>
      </c>
      <c r="J30" s="28" t="s">
        <v>82</v>
      </c>
      <c r="K30" s="28" t="s">
        <v>480</v>
      </c>
    </row>
    <row r="31" spans="1:11">
      <c r="A31" s="121" t="str">
        <f t="shared" si="2"/>
        <v>20</v>
      </c>
      <c r="B31" s="121">
        <v>32</v>
      </c>
      <c r="C31" s="98" t="s">
        <v>485</v>
      </c>
      <c r="D31" s="28" t="s">
        <v>82</v>
      </c>
      <c r="E31" s="28" t="s">
        <v>486</v>
      </c>
      <c r="G31" s="121" t="str">
        <f>DEC2HEX(H31)</f>
        <v>20</v>
      </c>
      <c r="H31" s="121">
        <v>32</v>
      </c>
      <c r="I31" s="123" t="s">
        <v>493</v>
      </c>
      <c r="J31" s="28" t="s">
        <v>82</v>
      </c>
      <c r="K31" s="28" t="s">
        <v>484</v>
      </c>
    </row>
    <row r="32" spans="1:11">
      <c r="A32" s="125"/>
      <c r="B32" s="125"/>
      <c r="C32" s="126"/>
      <c r="G32" s="29">
        <v>24</v>
      </c>
      <c r="H32" s="23">
        <v>36</v>
      </c>
      <c r="I32" s="96" t="s">
        <v>494</v>
      </c>
      <c r="J32" s="28" t="s">
        <v>82</v>
      </c>
      <c r="K32" s="28" t="s">
        <v>495</v>
      </c>
    </row>
    <row r="33" spans="1:12" ht="19.95" customHeight="1"/>
    <row r="34" spans="1:12" ht="19.95" customHeight="1">
      <c r="A34" s="397" t="s">
        <v>496</v>
      </c>
      <c r="B34" s="398"/>
      <c r="C34" s="398"/>
      <c r="D34" s="398"/>
      <c r="E34" s="399"/>
      <c r="G34" s="400" t="s">
        <v>723</v>
      </c>
      <c r="H34" s="401"/>
      <c r="I34" s="401"/>
      <c r="J34" s="401"/>
      <c r="K34" s="402"/>
    </row>
    <row r="35" spans="1:12" ht="19.95" customHeight="1">
      <c r="A35" s="40" t="s">
        <v>74</v>
      </c>
      <c r="B35" s="40" t="s">
        <v>75</v>
      </c>
      <c r="C35" s="97" t="s">
        <v>232</v>
      </c>
      <c r="D35" s="128"/>
      <c r="E35" s="98" t="s">
        <v>497</v>
      </c>
      <c r="G35" s="40" t="s">
        <v>74</v>
      </c>
      <c r="H35" s="40" t="s">
        <v>75</v>
      </c>
      <c r="I35" s="97" t="s">
        <v>232</v>
      </c>
      <c r="J35" s="128"/>
      <c r="K35" s="98" t="s">
        <v>497</v>
      </c>
    </row>
    <row r="36" spans="1:12" ht="19.95" customHeight="1">
      <c r="A36" s="403">
        <v>0</v>
      </c>
      <c r="B36" s="404">
        <v>0</v>
      </c>
      <c r="C36" s="386" t="s">
        <v>498</v>
      </c>
      <c r="D36" s="28" t="s">
        <v>499</v>
      </c>
      <c r="E36" s="129" t="s">
        <v>500</v>
      </c>
      <c r="G36" s="403">
        <v>0</v>
      </c>
      <c r="H36" s="404">
        <v>0</v>
      </c>
      <c r="I36" s="386" t="s">
        <v>498</v>
      </c>
      <c r="J36" s="28" t="s">
        <v>499</v>
      </c>
      <c r="K36" s="131" t="s">
        <v>500</v>
      </c>
      <c r="L36" s="130" t="s">
        <v>501</v>
      </c>
    </row>
    <row r="37" spans="1:12" ht="19.95" customHeight="1">
      <c r="A37" s="403"/>
      <c r="B37" s="405"/>
      <c r="C37" s="386"/>
      <c r="D37" s="28" t="s">
        <v>502</v>
      </c>
      <c r="E37" s="129" t="s">
        <v>503</v>
      </c>
      <c r="G37" s="403"/>
      <c r="H37" s="405"/>
      <c r="I37" s="386"/>
      <c r="J37" s="28" t="s">
        <v>502</v>
      </c>
      <c r="K37" s="131" t="s">
        <v>503</v>
      </c>
      <c r="L37" s="130" t="s">
        <v>501</v>
      </c>
    </row>
    <row r="38" spans="1:12" ht="19.95" customHeight="1">
      <c r="A38" s="403"/>
      <c r="B38" s="405"/>
      <c r="C38" s="386"/>
      <c r="D38" s="28" t="s">
        <v>504</v>
      </c>
      <c r="E38" s="129" t="s">
        <v>505</v>
      </c>
      <c r="G38" s="403"/>
      <c r="H38" s="405"/>
      <c r="I38" s="386"/>
      <c r="J38" s="28" t="s">
        <v>504</v>
      </c>
      <c r="K38" s="131" t="s">
        <v>505</v>
      </c>
      <c r="L38" s="130" t="s">
        <v>501</v>
      </c>
    </row>
    <row r="39" spans="1:12" ht="19.95" customHeight="1">
      <c r="A39" s="403"/>
      <c r="B39" s="405"/>
      <c r="C39" s="386"/>
      <c r="D39" s="28" t="s">
        <v>506</v>
      </c>
      <c r="E39" s="129" t="s">
        <v>507</v>
      </c>
      <c r="G39" s="403"/>
      <c r="H39" s="405"/>
      <c r="I39" s="386"/>
      <c r="J39" s="28" t="s">
        <v>506</v>
      </c>
      <c r="K39" s="131" t="s">
        <v>507</v>
      </c>
      <c r="L39" s="130" t="s">
        <v>508</v>
      </c>
    </row>
    <row r="40" spans="1:12">
      <c r="A40" s="403"/>
      <c r="B40" s="405"/>
      <c r="C40" s="386"/>
      <c r="D40" s="28" t="s">
        <v>509</v>
      </c>
      <c r="E40" s="129" t="s">
        <v>510</v>
      </c>
      <c r="G40" s="403"/>
      <c r="H40" s="405"/>
      <c r="I40" s="386"/>
      <c r="J40" s="28" t="s">
        <v>509</v>
      </c>
      <c r="K40" s="131" t="s">
        <v>510</v>
      </c>
      <c r="L40" s="130" t="s">
        <v>508</v>
      </c>
    </row>
    <row r="41" spans="1:12" ht="19.95" customHeight="1">
      <c r="A41" s="403"/>
      <c r="B41" s="405"/>
      <c r="C41" s="386"/>
      <c r="D41" s="28" t="s">
        <v>511</v>
      </c>
      <c r="E41" s="129" t="s">
        <v>512</v>
      </c>
      <c r="G41" s="403"/>
      <c r="H41" s="405"/>
      <c r="I41" s="386"/>
      <c r="J41" s="28" t="s">
        <v>511</v>
      </c>
      <c r="K41" s="131" t="s">
        <v>512</v>
      </c>
      <c r="L41" s="130" t="s">
        <v>508</v>
      </c>
    </row>
    <row r="42" spans="1:12" ht="19.95" customHeight="1">
      <c r="A42" s="403"/>
      <c r="B42" s="405"/>
      <c r="C42" s="386"/>
      <c r="D42" s="28" t="s">
        <v>513</v>
      </c>
      <c r="E42" s="129" t="s">
        <v>514</v>
      </c>
      <c r="G42" s="403"/>
      <c r="H42" s="405"/>
      <c r="I42" s="386"/>
      <c r="J42" s="28" t="s">
        <v>513</v>
      </c>
      <c r="K42" s="129" t="s">
        <v>515</v>
      </c>
      <c r="L42" s="130" t="s">
        <v>501</v>
      </c>
    </row>
    <row r="43" spans="1:12" ht="19.95" customHeight="1">
      <c r="A43" s="403"/>
      <c r="B43" s="406"/>
      <c r="C43" s="386"/>
      <c r="D43" s="28" t="s">
        <v>516</v>
      </c>
      <c r="E43" s="129" t="s">
        <v>517</v>
      </c>
      <c r="G43" s="403"/>
      <c r="H43" s="406"/>
      <c r="I43" s="386"/>
      <c r="J43" s="28" t="s">
        <v>516</v>
      </c>
      <c r="K43" s="129" t="s">
        <v>517</v>
      </c>
      <c r="L43" s="130" t="s">
        <v>501</v>
      </c>
    </row>
    <row r="44" spans="1:12" ht="19.95" customHeight="1">
      <c r="A44" s="403">
        <v>1</v>
      </c>
      <c r="B44" s="403">
        <v>1</v>
      </c>
      <c r="C44" s="386" t="s">
        <v>498</v>
      </c>
      <c r="D44" s="28" t="s">
        <v>499</v>
      </c>
      <c r="E44" s="129" t="s">
        <v>518</v>
      </c>
      <c r="G44" s="403">
        <v>1</v>
      </c>
      <c r="H44" s="403">
        <v>1</v>
      </c>
      <c r="I44" s="386" t="s">
        <v>498</v>
      </c>
      <c r="J44" s="28" t="s">
        <v>499</v>
      </c>
      <c r="K44" s="344" t="s">
        <v>519</v>
      </c>
      <c r="L44" s="130" t="s">
        <v>501</v>
      </c>
    </row>
    <row r="45" spans="1:12" ht="19.95" customHeight="1">
      <c r="A45" s="403"/>
      <c r="B45" s="403"/>
      <c r="C45" s="386"/>
      <c r="D45" s="28" t="s">
        <v>502</v>
      </c>
      <c r="E45" s="129" t="s">
        <v>520</v>
      </c>
      <c r="G45" s="403"/>
      <c r="H45" s="403"/>
      <c r="I45" s="386"/>
      <c r="J45" s="28" t="s">
        <v>502</v>
      </c>
      <c r="K45" s="129" t="s">
        <v>1024</v>
      </c>
      <c r="L45" s="130" t="s">
        <v>501</v>
      </c>
    </row>
    <row r="46" spans="1:12" ht="19.95" customHeight="1">
      <c r="A46" s="403"/>
      <c r="B46" s="403"/>
      <c r="C46" s="386"/>
      <c r="D46" s="28" t="s">
        <v>504</v>
      </c>
      <c r="E46" s="129" t="s">
        <v>521</v>
      </c>
      <c r="G46" s="403"/>
      <c r="H46" s="403"/>
      <c r="I46" s="386"/>
      <c r="J46" s="28" t="s">
        <v>504</v>
      </c>
      <c r="K46" s="129" t="s">
        <v>522</v>
      </c>
      <c r="L46" s="130" t="s">
        <v>501</v>
      </c>
    </row>
    <row r="47" spans="1:12" ht="19.95" customHeight="1">
      <c r="A47" s="403"/>
      <c r="B47" s="403"/>
      <c r="C47" s="386"/>
      <c r="D47" s="28" t="s">
        <v>506</v>
      </c>
      <c r="E47" s="129" t="s">
        <v>523</v>
      </c>
      <c r="F47" s="4" t="s">
        <v>508</v>
      </c>
      <c r="G47" s="403"/>
      <c r="H47" s="403"/>
      <c r="I47" s="386"/>
      <c r="J47" s="28" t="s">
        <v>506</v>
      </c>
      <c r="K47" s="129" t="s">
        <v>524</v>
      </c>
      <c r="L47" s="130" t="s">
        <v>501</v>
      </c>
    </row>
    <row r="48" spans="1:12">
      <c r="A48" s="403"/>
      <c r="B48" s="403"/>
      <c r="C48" s="386"/>
      <c r="D48" s="28" t="s">
        <v>509</v>
      </c>
      <c r="E48" s="129" t="s">
        <v>525</v>
      </c>
      <c r="F48" s="4" t="s">
        <v>508</v>
      </c>
      <c r="G48" s="403"/>
      <c r="H48" s="403"/>
      <c r="I48" s="386"/>
      <c r="J48" s="28" t="s">
        <v>509</v>
      </c>
      <c r="K48" s="129" t="s">
        <v>526</v>
      </c>
      <c r="L48" s="130" t="s">
        <v>501</v>
      </c>
    </row>
    <row r="49" spans="1:12" ht="19.95" customHeight="1">
      <c r="A49" s="403"/>
      <c r="B49" s="403"/>
      <c r="C49" s="386"/>
      <c r="D49" s="28" t="s">
        <v>511</v>
      </c>
      <c r="E49" s="129" t="s">
        <v>527</v>
      </c>
      <c r="F49" s="4" t="s">
        <v>508</v>
      </c>
      <c r="G49" s="403"/>
      <c r="H49" s="403"/>
      <c r="I49" s="386"/>
      <c r="J49" s="28" t="s">
        <v>511</v>
      </c>
      <c r="K49" s="147" t="s">
        <v>901</v>
      </c>
      <c r="L49" s="130" t="s">
        <v>501</v>
      </c>
    </row>
    <row r="50" spans="1:12" ht="19.95" customHeight="1">
      <c r="A50" s="403"/>
      <c r="B50" s="403"/>
      <c r="C50" s="386"/>
      <c r="D50" s="28" t="s">
        <v>513</v>
      </c>
      <c r="E50" s="129" t="s">
        <v>528</v>
      </c>
      <c r="F50" s="4" t="s">
        <v>508</v>
      </c>
      <c r="G50" s="403"/>
      <c r="H50" s="403"/>
      <c r="I50" s="386"/>
      <c r="J50" s="28" t="s">
        <v>513</v>
      </c>
      <c r="K50" s="143" t="s">
        <v>529</v>
      </c>
      <c r="L50" s="130" t="s">
        <v>501</v>
      </c>
    </row>
    <row r="51" spans="1:12" ht="19.95" customHeight="1">
      <c r="A51" s="403"/>
      <c r="B51" s="403"/>
      <c r="C51" s="386"/>
      <c r="D51" s="28" t="s">
        <v>516</v>
      </c>
      <c r="E51" s="129" t="s">
        <v>530</v>
      </c>
      <c r="F51" s="4" t="s">
        <v>508</v>
      </c>
      <c r="G51" s="403"/>
      <c r="H51" s="403"/>
      <c r="I51" s="386"/>
      <c r="J51" s="28" t="s">
        <v>516</v>
      </c>
      <c r="K51" s="129" t="s">
        <v>530</v>
      </c>
      <c r="L51" s="130" t="s">
        <v>508</v>
      </c>
    </row>
    <row r="52" spans="1:12" ht="19.95" customHeight="1">
      <c r="A52" s="403">
        <v>2</v>
      </c>
      <c r="B52" s="403">
        <v>2</v>
      </c>
      <c r="C52" s="386" t="s">
        <v>498</v>
      </c>
      <c r="D52" s="28" t="s">
        <v>499</v>
      </c>
      <c r="E52" s="129" t="s">
        <v>531</v>
      </c>
      <c r="F52" s="4" t="s">
        <v>508</v>
      </c>
      <c r="G52" s="403">
        <v>2</v>
      </c>
      <c r="H52" s="403">
        <v>2</v>
      </c>
      <c r="I52" s="386" t="s">
        <v>498</v>
      </c>
      <c r="J52" s="28" t="s">
        <v>499</v>
      </c>
      <c r="K52" s="129" t="s">
        <v>531</v>
      </c>
      <c r="L52" s="130" t="s">
        <v>508</v>
      </c>
    </row>
    <row r="53" spans="1:12" ht="19.95" customHeight="1">
      <c r="A53" s="403"/>
      <c r="B53" s="403"/>
      <c r="C53" s="386"/>
      <c r="D53" s="28" t="s">
        <v>502</v>
      </c>
      <c r="E53" s="129" t="s">
        <v>532</v>
      </c>
      <c r="F53" s="4" t="s">
        <v>508</v>
      </c>
      <c r="G53" s="403"/>
      <c r="H53" s="403"/>
      <c r="I53" s="386"/>
      <c r="J53" s="28" t="s">
        <v>502</v>
      </c>
      <c r="K53" s="143" t="s">
        <v>532</v>
      </c>
      <c r="L53" s="267" t="s">
        <v>508</v>
      </c>
    </row>
    <row r="54" spans="1:12" ht="19.95" customHeight="1">
      <c r="A54" s="403"/>
      <c r="B54" s="403"/>
      <c r="C54" s="386"/>
      <c r="D54" s="28" t="s">
        <v>504</v>
      </c>
      <c r="E54" s="129" t="s">
        <v>533</v>
      </c>
      <c r="F54" s="4" t="s">
        <v>508</v>
      </c>
      <c r="G54" s="403"/>
      <c r="H54" s="403"/>
      <c r="I54" s="386"/>
      <c r="J54" s="28" t="s">
        <v>504</v>
      </c>
      <c r="K54" s="143" t="s">
        <v>533</v>
      </c>
      <c r="L54" s="267" t="s">
        <v>508</v>
      </c>
    </row>
    <row r="55" spans="1:12" ht="19.95" customHeight="1">
      <c r="A55" s="403"/>
      <c r="B55" s="403"/>
      <c r="C55" s="386"/>
      <c r="D55" s="28" t="s">
        <v>506</v>
      </c>
      <c r="E55" s="129" t="s">
        <v>534</v>
      </c>
      <c r="G55" s="403"/>
      <c r="H55" s="403"/>
      <c r="I55" s="386"/>
      <c r="J55" s="28" t="s">
        <v>506</v>
      </c>
      <c r="K55" s="143" t="s">
        <v>534</v>
      </c>
      <c r="L55" s="267" t="s">
        <v>508</v>
      </c>
    </row>
    <row r="56" spans="1:12">
      <c r="A56" s="403"/>
      <c r="B56" s="403"/>
      <c r="C56" s="386"/>
      <c r="D56" s="28" t="s">
        <v>509</v>
      </c>
      <c r="E56" s="129" t="s">
        <v>535</v>
      </c>
      <c r="G56" s="403"/>
      <c r="H56" s="403"/>
      <c r="I56" s="386"/>
      <c r="J56" s="28" t="s">
        <v>509</v>
      </c>
      <c r="K56" s="143" t="s">
        <v>535</v>
      </c>
      <c r="L56" s="267" t="s">
        <v>508</v>
      </c>
    </row>
    <row r="57" spans="1:12" ht="19.95" customHeight="1">
      <c r="A57" s="403"/>
      <c r="B57" s="403"/>
      <c r="C57" s="386"/>
      <c r="D57" s="28" t="s">
        <v>511</v>
      </c>
      <c r="E57" s="129" t="s">
        <v>536</v>
      </c>
      <c r="G57" s="403"/>
      <c r="H57" s="403"/>
      <c r="I57" s="386"/>
      <c r="J57" s="28" t="s">
        <v>511</v>
      </c>
      <c r="K57" s="143" t="s">
        <v>536</v>
      </c>
      <c r="L57" s="267" t="s">
        <v>508</v>
      </c>
    </row>
    <row r="58" spans="1:12" ht="19.95" customHeight="1">
      <c r="A58" s="403"/>
      <c r="B58" s="403"/>
      <c r="C58" s="386"/>
      <c r="D58" s="28" t="s">
        <v>513</v>
      </c>
      <c r="E58" s="129" t="s">
        <v>537</v>
      </c>
      <c r="F58" s="4" t="s">
        <v>508</v>
      </c>
      <c r="G58" s="403"/>
      <c r="H58" s="403"/>
      <c r="I58" s="386"/>
      <c r="J58" s="28" t="s">
        <v>513</v>
      </c>
      <c r="K58" s="143" t="s">
        <v>537</v>
      </c>
      <c r="L58" s="267" t="s">
        <v>508</v>
      </c>
    </row>
    <row r="59" spans="1:12" ht="19.95" customHeight="1">
      <c r="A59" s="403"/>
      <c r="B59" s="403"/>
      <c r="C59" s="386"/>
      <c r="D59" s="28" t="s">
        <v>516</v>
      </c>
      <c r="E59" s="129" t="s">
        <v>538</v>
      </c>
      <c r="F59" s="4" t="s">
        <v>508</v>
      </c>
      <c r="G59" s="403"/>
      <c r="H59" s="403"/>
      <c r="I59" s="386"/>
      <c r="J59" s="28" t="s">
        <v>516</v>
      </c>
      <c r="K59" s="129" t="s">
        <v>538</v>
      </c>
      <c r="L59" s="130" t="s">
        <v>508</v>
      </c>
    </row>
    <row r="60" spans="1:12" ht="19.95" customHeight="1">
      <c r="A60" s="403">
        <v>3</v>
      </c>
      <c r="B60" s="403">
        <v>3</v>
      </c>
      <c r="C60" s="386" t="s">
        <v>498</v>
      </c>
      <c r="D60" s="28" t="s">
        <v>499</v>
      </c>
      <c r="E60" s="129" t="s">
        <v>539</v>
      </c>
      <c r="F60" s="4" t="s">
        <v>508</v>
      </c>
      <c r="G60" s="403">
        <v>3</v>
      </c>
      <c r="H60" s="403">
        <v>3</v>
      </c>
      <c r="I60" s="386" t="s">
        <v>498</v>
      </c>
      <c r="J60" s="28" t="s">
        <v>499</v>
      </c>
      <c r="K60" s="129" t="s">
        <v>540</v>
      </c>
      <c r="L60" s="130" t="s">
        <v>501</v>
      </c>
    </row>
    <row r="61" spans="1:12" ht="19.95" customHeight="1">
      <c r="A61" s="403"/>
      <c r="B61" s="403"/>
      <c r="C61" s="386"/>
      <c r="D61" s="28" t="s">
        <v>502</v>
      </c>
      <c r="E61" s="129" t="s">
        <v>541</v>
      </c>
      <c r="F61" s="4" t="s">
        <v>508</v>
      </c>
      <c r="G61" s="403"/>
      <c r="H61" s="403"/>
      <c r="I61" s="386"/>
      <c r="J61" s="28" t="s">
        <v>502</v>
      </c>
      <c r="K61" s="129" t="s">
        <v>542</v>
      </c>
      <c r="L61" s="130" t="s">
        <v>501</v>
      </c>
    </row>
    <row r="62" spans="1:12" ht="19.95" customHeight="1">
      <c r="A62" s="403"/>
      <c r="B62" s="403"/>
      <c r="C62" s="386"/>
      <c r="D62" s="28" t="s">
        <v>504</v>
      </c>
      <c r="E62" s="129" t="s">
        <v>543</v>
      </c>
      <c r="F62" s="4" t="s">
        <v>508</v>
      </c>
      <c r="G62" s="403"/>
      <c r="H62" s="403"/>
      <c r="I62" s="386"/>
      <c r="J62" s="28" t="s">
        <v>504</v>
      </c>
      <c r="K62" s="129" t="s">
        <v>544</v>
      </c>
      <c r="L62" s="130" t="s">
        <v>508</v>
      </c>
    </row>
    <row r="63" spans="1:12" ht="19.95" customHeight="1">
      <c r="A63" s="403"/>
      <c r="B63" s="403"/>
      <c r="C63" s="386"/>
      <c r="D63" s="28" t="s">
        <v>506</v>
      </c>
      <c r="E63" s="129" t="s">
        <v>545</v>
      </c>
      <c r="G63" s="403"/>
      <c r="H63" s="403"/>
      <c r="I63" s="386"/>
      <c r="J63" s="28" t="s">
        <v>506</v>
      </c>
      <c r="K63" s="143" t="s">
        <v>546</v>
      </c>
      <c r="L63" s="266" t="s">
        <v>508</v>
      </c>
    </row>
    <row r="64" spans="1:12">
      <c r="A64" s="403"/>
      <c r="B64" s="403"/>
      <c r="C64" s="386"/>
      <c r="D64" s="28" t="s">
        <v>509</v>
      </c>
      <c r="E64" s="129" t="s">
        <v>547</v>
      </c>
      <c r="G64" s="403"/>
      <c r="H64" s="403"/>
      <c r="I64" s="386"/>
      <c r="J64" s="28" t="s">
        <v>509</v>
      </c>
      <c r="K64" s="143" t="s">
        <v>547</v>
      </c>
      <c r="L64" s="267" t="s">
        <v>508</v>
      </c>
    </row>
    <row r="65" spans="1:12" ht="19.95" customHeight="1">
      <c r="A65" s="403"/>
      <c r="B65" s="403"/>
      <c r="C65" s="386"/>
      <c r="D65" s="28" t="s">
        <v>511</v>
      </c>
      <c r="E65" s="129" t="s">
        <v>548</v>
      </c>
      <c r="G65" s="403"/>
      <c r="H65" s="403"/>
      <c r="I65" s="386"/>
      <c r="J65" s="28" t="s">
        <v>511</v>
      </c>
      <c r="K65" s="143" t="s">
        <v>548</v>
      </c>
      <c r="L65" s="267" t="s">
        <v>508</v>
      </c>
    </row>
    <row r="66" spans="1:12" ht="19.95" customHeight="1">
      <c r="A66" s="403"/>
      <c r="B66" s="403"/>
      <c r="C66" s="386"/>
      <c r="D66" s="28" t="s">
        <v>513</v>
      </c>
      <c r="E66" s="129" t="s">
        <v>549</v>
      </c>
      <c r="G66" s="403"/>
      <c r="H66" s="403"/>
      <c r="I66" s="386"/>
      <c r="J66" s="28" t="s">
        <v>513</v>
      </c>
      <c r="K66" s="143" t="s">
        <v>904</v>
      </c>
      <c r="L66" s="269" t="s">
        <v>903</v>
      </c>
    </row>
    <row r="67" spans="1:12" ht="19.95" customHeight="1">
      <c r="A67" s="403"/>
      <c r="B67" s="403"/>
      <c r="C67" s="386"/>
      <c r="D67" s="28" t="s">
        <v>516</v>
      </c>
      <c r="E67" s="129" t="s">
        <v>551</v>
      </c>
      <c r="G67" s="403"/>
      <c r="H67" s="403"/>
      <c r="I67" s="386"/>
      <c r="J67" s="28" t="s">
        <v>516</v>
      </c>
      <c r="K67" s="131" t="s">
        <v>552</v>
      </c>
      <c r="L67" s="130" t="s">
        <v>508</v>
      </c>
    </row>
    <row r="68" spans="1:12" ht="19.95" customHeight="1">
      <c r="A68" s="403">
        <v>4</v>
      </c>
      <c r="B68" s="403">
        <v>4</v>
      </c>
      <c r="C68" s="386" t="s">
        <v>498</v>
      </c>
      <c r="D68" s="28" t="s">
        <v>499</v>
      </c>
      <c r="E68" s="129" t="s">
        <v>553</v>
      </c>
      <c r="G68" s="403">
        <v>4</v>
      </c>
      <c r="H68" s="403">
        <v>4</v>
      </c>
      <c r="I68" s="386" t="s">
        <v>498</v>
      </c>
      <c r="J68" s="28" t="s">
        <v>499</v>
      </c>
      <c r="K68" s="131" t="s">
        <v>554</v>
      </c>
      <c r="L68" s="130" t="s">
        <v>508</v>
      </c>
    </row>
    <row r="69" spans="1:12" ht="19.95" customHeight="1">
      <c r="A69" s="403"/>
      <c r="B69" s="403"/>
      <c r="C69" s="386"/>
      <c r="D69" s="28" t="s">
        <v>502</v>
      </c>
      <c r="E69" s="129" t="s">
        <v>555</v>
      </c>
      <c r="G69" s="403"/>
      <c r="H69" s="403"/>
      <c r="I69" s="386"/>
      <c r="J69" s="28" t="s">
        <v>502</v>
      </c>
      <c r="K69" s="268" t="s">
        <v>902</v>
      </c>
      <c r="L69" s="130" t="s">
        <v>903</v>
      </c>
    </row>
    <row r="70" spans="1:12" ht="19.95" customHeight="1">
      <c r="A70" s="403"/>
      <c r="B70" s="403"/>
      <c r="C70" s="386"/>
      <c r="D70" s="28" t="s">
        <v>504</v>
      </c>
      <c r="E70" s="129" t="s">
        <v>556</v>
      </c>
      <c r="G70" s="403"/>
      <c r="H70" s="403"/>
      <c r="I70" s="386"/>
      <c r="J70" s="28" t="s">
        <v>504</v>
      </c>
      <c r="K70" s="131"/>
      <c r="L70" s="130"/>
    </row>
    <row r="71" spans="1:12" ht="19.95" customHeight="1">
      <c r="A71" s="403"/>
      <c r="B71" s="403"/>
      <c r="C71" s="386"/>
      <c r="D71" s="28" t="s">
        <v>506</v>
      </c>
      <c r="E71" s="129" t="s">
        <v>557</v>
      </c>
      <c r="G71" s="403"/>
      <c r="H71" s="403"/>
      <c r="I71" s="386"/>
      <c r="J71" s="28" t="s">
        <v>506</v>
      </c>
      <c r="K71" s="131"/>
      <c r="L71" s="130"/>
    </row>
    <row r="72" spans="1:12">
      <c r="A72" s="403"/>
      <c r="B72" s="403"/>
      <c r="C72" s="386"/>
      <c r="D72" s="28" t="s">
        <v>509</v>
      </c>
      <c r="E72" s="129" t="s">
        <v>558</v>
      </c>
      <c r="G72" s="403"/>
      <c r="H72" s="403"/>
      <c r="I72" s="386"/>
      <c r="J72" s="28" t="s">
        <v>509</v>
      </c>
      <c r="K72" s="131"/>
      <c r="L72" s="130"/>
    </row>
    <row r="73" spans="1:12">
      <c r="A73" s="403"/>
      <c r="B73" s="403"/>
      <c r="C73" s="386"/>
      <c r="D73" s="28" t="s">
        <v>511</v>
      </c>
      <c r="E73" s="129" t="s">
        <v>550</v>
      </c>
      <c r="G73" s="403"/>
      <c r="H73" s="403"/>
      <c r="I73" s="386"/>
      <c r="J73" s="28" t="s">
        <v>511</v>
      </c>
      <c r="K73" s="131"/>
      <c r="L73" s="130"/>
    </row>
    <row r="74" spans="1:12" ht="19.95" customHeight="1">
      <c r="A74" s="403"/>
      <c r="B74" s="403"/>
      <c r="C74" s="386"/>
      <c r="D74" s="28" t="s">
        <v>513</v>
      </c>
      <c r="E74" s="129" t="s">
        <v>552</v>
      </c>
      <c r="G74" s="403"/>
      <c r="H74" s="403"/>
      <c r="I74" s="386"/>
      <c r="J74" s="28" t="s">
        <v>513</v>
      </c>
      <c r="K74" s="132"/>
      <c r="L74" s="130"/>
    </row>
    <row r="75" spans="1:12" ht="19.95" customHeight="1">
      <c r="A75" s="403"/>
      <c r="B75" s="403"/>
      <c r="C75" s="386"/>
      <c r="D75" s="28" t="s">
        <v>516</v>
      </c>
      <c r="E75" s="129" t="s">
        <v>554</v>
      </c>
      <c r="G75" s="403"/>
      <c r="H75" s="403"/>
      <c r="I75" s="386"/>
      <c r="J75" s="28" t="s">
        <v>516</v>
      </c>
      <c r="K75" s="132"/>
      <c r="L75" s="130"/>
    </row>
    <row r="76" spans="1:12" ht="19.95" customHeight="1" thickBot="1">
      <c r="A76" s="133" t="s">
        <v>559</v>
      </c>
      <c r="B76" s="133" t="s">
        <v>559</v>
      </c>
      <c r="C76" s="134" t="s">
        <v>560</v>
      </c>
      <c r="D76" s="135"/>
      <c r="E76" s="134"/>
      <c r="G76" s="133" t="s">
        <v>559</v>
      </c>
      <c r="H76" s="133" t="s">
        <v>559</v>
      </c>
      <c r="I76" s="134" t="s">
        <v>560</v>
      </c>
      <c r="J76" s="135"/>
      <c r="K76" s="129"/>
    </row>
    <row r="77" spans="1:12" ht="19.95" customHeight="1">
      <c r="A77" s="403">
        <v>8</v>
      </c>
      <c r="B77" s="404">
        <v>8</v>
      </c>
      <c r="C77" s="407" t="s">
        <v>561</v>
      </c>
      <c r="D77" s="136">
        <v>0</v>
      </c>
      <c r="E77" s="137" t="s">
        <v>562</v>
      </c>
      <c r="G77" s="403">
        <v>8</v>
      </c>
      <c r="H77" s="404">
        <v>8</v>
      </c>
      <c r="I77" s="407" t="s">
        <v>561</v>
      </c>
      <c r="J77" s="136">
        <v>0</v>
      </c>
      <c r="K77" s="137" t="s">
        <v>562</v>
      </c>
    </row>
    <row r="78" spans="1:12" ht="19.95" customHeight="1">
      <c r="A78" s="403"/>
      <c r="B78" s="405"/>
      <c r="C78" s="407"/>
      <c r="D78" s="138">
        <v>1</v>
      </c>
      <c r="E78" s="137" t="s">
        <v>563</v>
      </c>
      <c r="G78" s="403"/>
      <c r="H78" s="405"/>
      <c r="I78" s="407"/>
      <c r="J78" s="138">
        <v>1</v>
      </c>
      <c r="K78" s="137" t="s">
        <v>563</v>
      </c>
    </row>
    <row r="79" spans="1:12" ht="19.95" customHeight="1">
      <c r="A79" s="403"/>
      <c r="B79" s="405"/>
      <c r="C79" s="407"/>
      <c r="D79" s="138">
        <v>2</v>
      </c>
      <c r="E79" s="137" t="s">
        <v>564</v>
      </c>
      <c r="G79" s="403"/>
      <c r="H79" s="405"/>
      <c r="I79" s="407"/>
      <c r="J79" s="138">
        <v>2</v>
      </c>
      <c r="K79" s="137" t="s">
        <v>564</v>
      </c>
    </row>
    <row r="80" spans="1:12">
      <c r="A80" s="403"/>
      <c r="B80" s="405"/>
      <c r="C80" s="407"/>
      <c r="D80" s="138">
        <v>3</v>
      </c>
      <c r="E80" s="137" t="s">
        <v>565</v>
      </c>
      <c r="G80" s="403"/>
      <c r="H80" s="405"/>
      <c r="I80" s="407"/>
      <c r="J80" s="138">
        <v>3</v>
      </c>
      <c r="K80" s="137" t="s">
        <v>565</v>
      </c>
    </row>
    <row r="81" spans="1:11" ht="19.95" customHeight="1">
      <c r="A81" s="403"/>
      <c r="B81" s="405"/>
      <c r="C81" s="407"/>
      <c r="D81" s="138">
        <v>4</v>
      </c>
      <c r="E81" s="137" t="s">
        <v>566</v>
      </c>
      <c r="G81" s="403"/>
      <c r="H81" s="405"/>
      <c r="I81" s="407"/>
      <c r="J81" s="138">
        <v>4</v>
      </c>
      <c r="K81" s="137" t="s">
        <v>566</v>
      </c>
    </row>
    <row r="82" spans="1:11" ht="19.95" customHeight="1">
      <c r="A82" s="403"/>
      <c r="B82" s="405"/>
      <c r="C82" s="407"/>
      <c r="D82" s="138">
        <v>5</v>
      </c>
      <c r="E82" s="137" t="s">
        <v>567</v>
      </c>
      <c r="G82" s="403"/>
      <c r="H82" s="405"/>
      <c r="I82" s="407"/>
      <c r="J82" s="138">
        <v>5</v>
      </c>
      <c r="K82" s="137" t="s">
        <v>567</v>
      </c>
    </row>
    <row r="83" spans="1:11" ht="19.95" customHeight="1">
      <c r="A83" s="403"/>
      <c r="B83" s="406"/>
      <c r="C83" s="407"/>
      <c r="D83" s="138">
        <v>6</v>
      </c>
      <c r="E83" s="137" t="s">
        <v>568</v>
      </c>
      <c r="G83" s="403"/>
      <c r="H83" s="406"/>
      <c r="I83" s="407"/>
      <c r="J83" s="138">
        <v>6</v>
      </c>
      <c r="K83" s="137" t="s">
        <v>568</v>
      </c>
    </row>
    <row r="84" spans="1:11" ht="19.95" customHeight="1">
      <c r="A84" s="403">
        <v>9</v>
      </c>
      <c r="B84" s="404">
        <v>9</v>
      </c>
      <c r="C84" s="407" t="s">
        <v>569</v>
      </c>
      <c r="D84" s="138">
        <v>0</v>
      </c>
      <c r="E84" s="137" t="s">
        <v>570</v>
      </c>
      <c r="G84" s="403">
        <v>9</v>
      </c>
      <c r="H84" s="404">
        <v>9</v>
      </c>
      <c r="I84" s="407" t="s">
        <v>569</v>
      </c>
      <c r="J84" s="138">
        <v>0</v>
      </c>
      <c r="K84" s="137" t="s">
        <v>570</v>
      </c>
    </row>
    <row r="85" spans="1:11" ht="19.95" customHeight="1">
      <c r="A85" s="403"/>
      <c r="B85" s="405"/>
      <c r="C85" s="407"/>
      <c r="D85" s="138">
        <v>1</v>
      </c>
      <c r="E85" s="137" t="s">
        <v>571</v>
      </c>
      <c r="G85" s="403"/>
      <c r="H85" s="405"/>
      <c r="I85" s="407"/>
      <c r="J85" s="138">
        <v>1</v>
      </c>
      <c r="K85" s="137" t="s">
        <v>571</v>
      </c>
    </row>
    <row r="86" spans="1:11">
      <c r="A86" s="403"/>
      <c r="B86" s="405"/>
      <c r="C86" s="407"/>
      <c r="D86" s="138">
        <v>2</v>
      </c>
      <c r="E86" s="137" t="s">
        <v>572</v>
      </c>
      <c r="G86" s="403"/>
      <c r="H86" s="405"/>
      <c r="I86" s="407"/>
      <c r="J86" s="138">
        <v>2</v>
      </c>
      <c r="K86" s="137" t="s">
        <v>572</v>
      </c>
    </row>
    <row r="87" spans="1:11">
      <c r="A87" s="403"/>
      <c r="B87" s="405"/>
      <c r="C87" s="407"/>
      <c r="D87" s="138">
        <v>3</v>
      </c>
      <c r="E87" s="137" t="s">
        <v>573</v>
      </c>
      <c r="G87" s="403"/>
      <c r="H87" s="405"/>
      <c r="I87" s="407"/>
      <c r="J87" s="138">
        <v>3</v>
      </c>
      <c r="K87" s="137" t="s">
        <v>573</v>
      </c>
    </row>
    <row r="88" spans="1:11">
      <c r="A88" s="403"/>
      <c r="B88" s="405"/>
      <c r="C88" s="407"/>
      <c r="D88" s="138">
        <v>4</v>
      </c>
      <c r="E88" s="137" t="s">
        <v>574</v>
      </c>
      <c r="G88" s="403"/>
      <c r="H88" s="405"/>
      <c r="I88" s="407"/>
      <c r="J88" s="138">
        <v>4</v>
      </c>
      <c r="K88" s="137" t="s">
        <v>574</v>
      </c>
    </row>
    <row r="89" spans="1:11" ht="14.4" thickBot="1">
      <c r="A89" s="403"/>
      <c r="B89" s="406"/>
      <c r="C89" s="407"/>
      <c r="D89" s="139">
        <v>5</v>
      </c>
      <c r="E89" s="137" t="s">
        <v>575</v>
      </c>
      <c r="G89" s="403"/>
      <c r="H89" s="406"/>
      <c r="I89" s="407"/>
      <c r="J89" s="139">
        <v>5</v>
      </c>
      <c r="K89" s="137" t="s">
        <v>575</v>
      </c>
    </row>
    <row r="90" spans="1:11">
      <c r="D90" s="4" t="s">
        <v>576</v>
      </c>
      <c r="I90" s="4"/>
      <c r="J90" s="4" t="s">
        <v>576</v>
      </c>
    </row>
    <row r="92" spans="1:11">
      <c r="A92" s="408" t="s">
        <v>577</v>
      </c>
      <c r="B92" s="408"/>
      <c r="C92" s="409"/>
      <c r="D92" s="409"/>
      <c r="E92" s="409"/>
      <c r="G92" s="410" t="s">
        <v>724</v>
      </c>
      <c r="H92" s="410"/>
      <c r="I92" s="411"/>
      <c r="J92" s="411"/>
      <c r="K92" s="411"/>
    </row>
    <row r="93" spans="1:11">
      <c r="A93" s="40" t="s">
        <v>74</v>
      </c>
      <c r="B93" s="40" t="s">
        <v>75</v>
      </c>
      <c r="C93" s="120" t="s">
        <v>232</v>
      </c>
      <c r="D93" s="98" t="s">
        <v>78</v>
      </c>
      <c r="E93" s="98" t="s">
        <v>420</v>
      </c>
      <c r="G93" s="40" t="s">
        <v>74</v>
      </c>
      <c r="H93" s="40" t="s">
        <v>75</v>
      </c>
      <c r="I93" s="120" t="s">
        <v>232</v>
      </c>
      <c r="J93" s="98" t="s">
        <v>78</v>
      </c>
      <c r="K93" s="98" t="s">
        <v>420</v>
      </c>
    </row>
    <row r="94" spans="1:11">
      <c r="A94" s="121" t="str">
        <f>DEC2HEX(B94)</f>
        <v>0</v>
      </c>
      <c r="B94" s="121">
        <v>0</v>
      </c>
      <c r="C94" s="97" t="s">
        <v>578</v>
      </c>
      <c r="D94" s="140" t="s">
        <v>82</v>
      </c>
      <c r="E94" s="129" t="s">
        <v>579</v>
      </c>
      <c r="G94" s="121" t="str">
        <f>DEC2HEX(H94)</f>
        <v>0</v>
      </c>
      <c r="H94" s="121">
        <v>0</v>
      </c>
      <c r="I94" s="97" t="s">
        <v>580</v>
      </c>
      <c r="J94" s="140" t="s">
        <v>82</v>
      </c>
      <c r="K94" s="254" t="s">
        <v>894</v>
      </c>
    </row>
    <row r="95" spans="1:11">
      <c r="A95" s="121" t="str">
        <f t="shared" ref="A95:A100" si="4">DEC2HEX(B95)</f>
        <v>4</v>
      </c>
      <c r="B95" s="121">
        <v>4</v>
      </c>
      <c r="C95" s="120" t="s">
        <v>581</v>
      </c>
      <c r="D95" s="140" t="s">
        <v>82</v>
      </c>
      <c r="E95" s="129" t="s">
        <v>582</v>
      </c>
      <c r="G95" s="121" t="str">
        <f t="shared" ref="G95:G102" si="5">DEC2HEX(H95)</f>
        <v>4</v>
      </c>
      <c r="H95" s="121">
        <v>4</v>
      </c>
      <c r="I95" s="120" t="s">
        <v>581</v>
      </c>
      <c r="J95" s="140" t="s">
        <v>82</v>
      </c>
      <c r="K95" s="255" t="s">
        <v>895</v>
      </c>
    </row>
    <row r="96" spans="1:11">
      <c r="A96" s="121" t="str">
        <f t="shared" si="4"/>
        <v>8</v>
      </c>
      <c r="B96" s="121">
        <v>8</v>
      </c>
      <c r="C96" s="120" t="s">
        <v>583</v>
      </c>
      <c r="D96" s="140" t="s">
        <v>82</v>
      </c>
      <c r="E96" s="129" t="s">
        <v>584</v>
      </c>
      <c r="G96" s="121" t="str">
        <f t="shared" si="5"/>
        <v>8</v>
      </c>
      <c r="H96" s="121">
        <v>8</v>
      </c>
      <c r="I96" s="120" t="s">
        <v>583</v>
      </c>
      <c r="J96" s="140" t="s">
        <v>82</v>
      </c>
      <c r="K96" s="255" t="s">
        <v>896</v>
      </c>
    </row>
    <row r="97" spans="1:11">
      <c r="A97" s="121" t="str">
        <f t="shared" si="4"/>
        <v>C</v>
      </c>
      <c r="B97" s="121">
        <v>12</v>
      </c>
      <c r="C97" s="97" t="s">
        <v>585</v>
      </c>
      <c r="D97" s="140" t="s">
        <v>82</v>
      </c>
      <c r="E97" s="129" t="s">
        <v>586</v>
      </c>
      <c r="G97" s="121" t="str">
        <f t="shared" si="5"/>
        <v>C</v>
      </c>
      <c r="H97" s="121">
        <v>12</v>
      </c>
      <c r="I97" s="97" t="s">
        <v>585</v>
      </c>
      <c r="J97" s="140" t="s">
        <v>82</v>
      </c>
      <c r="K97" s="255" t="s">
        <v>895</v>
      </c>
    </row>
    <row r="98" spans="1:11">
      <c r="A98" s="121" t="str">
        <f t="shared" si="4"/>
        <v>18</v>
      </c>
      <c r="B98" s="121">
        <v>24</v>
      </c>
      <c r="C98" s="97" t="s">
        <v>587</v>
      </c>
      <c r="D98" s="140" t="s">
        <v>82</v>
      </c>
      <c r="E98" s="129" t="s">
        <v>588</v>
      </c>
      <c r="G98" s="121" t="str">
        <f t="shared" si="5"/>
        <v>10</v>
      </c>
      <c r="H98" s="121">
        <v>16</v>
      </c>
      <c r="I98" s="235" t="s">
        <v>589</v>
      </c>
      <c r="J98" s="236" t="s">
        <v>82</v>
      </c>
      <c r="K98" s="256" t="s">
        <v>897</v>
      </c>
    </row>
    <row r="99" spans="1:11">
      <c r="A99" s="121" t="str">
        <f t="shared" si="4"/>
        <v>1C</v>
      </c>
      <c r="B99" s="121">
        <v>28</v>
      </c>
      <c r="C99" s="97" t="s">
        <v>590</v>
      </c>
      <c r="D99" s="140" t="s">
        <v>82</v>
      </c>
      <c r="E99" s="129" t="s">
        <v>591</v>
      </c>
      <c r="G99" s="121" t="str">
        <f t="shared" si="5"/>
        <v>14</v>
      </c>
      <c r="H99" s="121">
        <v>20</v>
      </c>
      <c r="I99" s="235" t="s">
        <v>592</v>
      </c>
      <c r="J99" s="236" t="s">
        <v>82</v>
      </c>
      <c r="K99" s="256" t="s">
        <v>895</v>
      </c>
    </row>
    <row r="100" spans="1:11">
      <c r="A100" s="121" t="str">
        <f t="shared" si="4"/>
        <v>20</v>
      </c>
      <c r="B100" s="121">
        <v>32</v>
      </c>
      <c r="C100" s="97" t="s">
        <v>593</v>
      </c>
      <c r="D100" s="140" t="s">
        <v>82</v>
      </c>
      <c r="E100" s="129" t="s">
        <v>594</v>
      </c>
      <c r="G100" s="121" t="str">
        <f t="shared" si="5"/>
        <v>18</v>
      </c>
      <c r="H100" s="121">
        <v>24</v>
      </c>
      <c r="I100" s="97" t="s">
        <v>595</v>
      </c>
      <c r="J100" s="140" t="s">
        <v>82</v>
      </c>
      <c r="K100" s="257" t="s">
        <v>898</v>
      </c>
    </row>
    <row r="101" spans="1:11">
      <c r="A101" s="125"/>
      <c r="B101" s="125"/>
      <c r="C101" s="144"/>
      <c r="D101" s="145"/>
      <c r="E101" s="130"/>
      <c r="G101" s="121" t="str">
        <f t="shared" si="5"/>
        <v>1C</v>
      </c>
      <c r="H101" s="121">
        <v>28</v>
      </c>
      <c r="I101" s="97" t="s">
        <v>596</v>
      </c>
      <c r="J101" s="140" t="s">
        <v>82</v>
      </c>
      <c r="K101" s="254" t="s">
        <v>899</v>
      </c>
    </row>
    <row r="102" spans="1:11">
      <c r="A102" s="125"/>
      <c r="B102" s="125"/>
      <c r="C102" s="144"/>
      <c r="D102" s="145"/>
      <c r="E102" s="130"/>
      <c r="G102" s="121" t="str">
        <f t="shared" si="5"/>
        <v>20</v>
      </c>
      <c r="H102" s="121">
        <v>32</v>
      </c>
      <c r="I102" s="97" t="s">
        <v>593</v>
      </c>
      <c r="J102" s="140" t="s">
        <v>82</v>
      </c>
      <c r="K102" s="255" t="s">
        <v>900</v>
      </c>
    </row>
    <row r="103" spans="1:11">
      <c r="A103" s="125"/>
      <c r="B103" s="125"/>
      <c r="C103" s="144"/>
      <c r="D103" s="145"/>
      <c r="E103" s="130"/>
      <c r="G103" s="125"/>
      <c r="H103" s="125"/>
      <c r="I103" s="144"/>
      <c r="J103" s="145"/>
      <c r="K103" s="130"/>
    </row>
    <row r="106" spans="1:11">
      <c r="A106" s="408" t="s">
        <v>597</v>
      </c>
      <c r="B106" s="408"/>
      <c r="C106" s="409"/>
      <c r="D106" s="409"/>
      <c r="E106" s="409"/>
      <c r="G106" s="412" t="s">
        <v>729</v>
      </c>
      <c r="H106" s="413"/>
      <c r="I106" s="413"/>
      <c r="J106" s="413"/>
      <c r="K106" s="414"/>
    </row>
    <row r="107" spans="1:11">
      <c r="A107" s="40" t="s">
        <v>74</v>
      </c>
      <c r="B107" s="40" t="s">
        <v>75</v>
      </c>
      <c r="C107" s="120" t="s">
        <v>232</v>
      </c>
      <c r="D107" s="98" t="s">
        <v>78</v>
      </c>
      <c r="E107" s="98" t="s">
        <v>420</v>
      </c>
      <c r="G107" s="225" t="s">
        <v>74</v>
      </c>
      <c r="H107" s="225" t="s">
        <v>75</v>
      </c>
      <c r="I107" s="226" t="s">
        <v>232</v>
      </c>
      <c r="J107" s="227" t="s">
        <v>78</v>
      </c>
      <c r="K107" s="227" t="s">
        <v>420</v>
      </c>
    </row>
    <row r="108" spans="1:11" ht="26.4">
      <c r="A108" s="121">
        <v>0</v>
      </c>
      <c r="B108" s="121">
        <v>0</v>
      </c>
      <c r="C108" s="97" t="s">
        <v>58</v>
      </c>
      <c r="D108" s="140" t="s">
        <v>447</v>
      </c>
      <c r="E108" s="129" t="s">
        <v>598</v>
      </c>
      <c r="G108" s="228">
        <v>0</v>
      </c>
      <c r="H108" s="228">
        <v>0</v>
      </c>
      <c r="I108" s="141" t="s">
        <v>58</v>
      </c>
      <c r="J108" s="142" t="s">
        <v>447</v>
      </c>
      <c r="K108" s="143" t="s">
        <v>599</v>
      </c>
    </row>
    <row r="109" spans="1:11">
      <c r="A109" s="121">
        <v>1</v>
      </c>
      <c r="B109" s="121">
        <v>1</v>
      </c>
      <c r="C109" s="120" t="s">
        <v>600</v>
      </c>
      <c r="D109" s="140" t="s">
        <v>601</v>
      </c>
      <c r="E109" s="129"/>
      <c r="G109" s="228">
        <v>1</v>
      </c>
      <c r="H109" s="228">
        <v>1</v>
      </c>
      <c r="I109" s="226" t="s">
        <v>600</v>
      </c>
      <c r="J109" s="142" t="s">
        <v>725</v>
      </c>
      <c r="K109" s="143"/>
    </row>
    <row r="110" spans="1:11">
      <c r="I110" s="4"/>
    </row>
    <row r="111" spans="1:11">
      <c r="I111" s="4"/>
    </row>
    <row r="112" spans="1:11">
      <c r="A112" s="408" t="s">
        <v>602</v>
      </c>
      <c r="B112" s="408"/>
      <c r="C112" s="409"/>
      <c r="D112" s="409"/>
      <c r="E112" s="409"/>
      <c r="G112" s="410" t="s">
        <v>726</v>
      </c>
      <c r="H112" s="410"/>
      <c r="I112" s="411"/>
      <c r="J112" s="411"/>
      <c r="K112" s="411"/>
    </row>
    <row r="113" spans="1:11">
      <c r="A113" s="40" t="s">
        <v>74</v>
      </c>
      <c r="B113" s="40" t="s">
        <v>75</v>
      </c>
      <c r="C113" s="120" t="s">
        <v>232</v>
      </c>
      <c r="D113" s="98" t="s">
        <v>78</v>
      </c>
      <c r="E113" s="98" t="s">
        <v>420</v>
      </c>
      <c r="G113" s="40" t="s">
        <v>74</v>
      </c>
      <c r="H113" s="40" t="s">
        <v>75</v>
      </c>
      <c r="I113" s="120" t="s">
        <v>232</v>
      </c>
      <c r="J113" s="98" t="s">
        <v>78</v>
      </c>
      <c r="K113" s="98" t="s">
        <v>420</v>
      </c>
    </row>
    <row r="114" spans="1:11">
      <c r="A114" s="121" t="str">
        <f>DEC2HEX(B114)</f>
        <v>0</v>
      </c>
      <c r="B114" s="121">
        <v>0</v>
      </c>
      <c r="C114" s="97" t="s">
        <v>603</v>
      </c>
      <c r="D114" s="140" t="s">
        <v>82</v>
      </c>
      <c r="E114" s="129"/>
      <c r="G114" s="121" t="str">
        <f>DEC2HEX(H114)</f>
        <v>0</v>
      </c>
      <c r="H114" s="121">
        <v>0</v>
      </c>
      <c r="I114" s="97" t="s">
        <v>603</v>
      </c>
      <c r="J114" s="140" t="s">
        <v>82</v>
      </c>
      <c r="K114" s="129"/>
    </row>
    <row r="115" spans="1:11">
      <c r="A115" s="121" t="str">
        <f t="shared" ref="A115:A117" si="6">DEC2HEX(B115)</f>
        <v>4</v>
      </c>
      <c r="B115" s="121">
        <v>4</v>
      </c>
      <c r="C115" s="120" t="s">
        <v>604</v>
      </c>
      <c r="D115" s="140" t="s">
        <v>82</v>
      </c>
      <c r="E115" s="129"/>
      <c r="G115" s="121" t="str">
        <f t="shared" ref="G115:G117" si="7">DEC2HEX(H115)</f>
        <v>4</v>
      </c>
      <c r="H115" s="121">
        <v>4</v>
      </c>
      <c r="I115" s="120" t="s">
        <v>604</v>
      </c>
      <c r="J115" s="140" t="s">
        <v>82</v>
      </c>
      <c r="K115" s="129"/>
    </row>
    <row r="116" spans="1:11">
      <c r="A116" s="121" t="str">
        <f t="shared" si="6"/>
        <v>8</v>
      </c>
      <c r="B116" s="121">
        <v>8</v>
      </c>
      <c r="C116" s="120" t="s">
        <v>605</v>
      </c>
      <c r="D116" s="140" t="s">
        <v>82</v>
      </c>
      <c r="E116" s="129"/>
      <c r="G116" s="121" t="str">
        <f t="shared" si="7"/>
        <v>8</v>
      </c>
      <c r="H116" s="121">
        <v>8</v>
      </c>
      <c r="I116" s="120" t="s">
        <v>605</v>
      </c>
      <c r="J116" s="140" t="s">
        <v>82</v>
      </c>
      <c r="K116" s="129"/>
    </row>
    <row r="117" spans="1:11" ht="26.4">
      <c r="A117" s="121" t="str">
        <f t="shared" si="6"/>
        <v>C</v>
      </c>
      <c r="B117" s="121">
        <v>12</v>
      </c>
      <c r="C117" s="97" t="s">
        <v>606</v>
      </c>
      <c r="D117" s="140" t="s">
        <v>601</v>
      </c>
      <c r="E117" s="146" t="s">
        <v>607</v>
      </c>
      <c r="G117" s="121" t="str">
        <f t="shared" si="7"/>
        <v>C</v>
      </c>
      <c r="H117" s="121">
        <v>12</v>
      </c>
      <c r="I117" s="97" t="s">
        <v>606</v>
      </c>
      <c r="J117" s="140" t="s">
        <v>601</v>
      </c>
      <c r="K117" s="147" t="s">
        <v>608</v>
      </c>
    </row>
  </sheetData>
  <mergeCells count="54">
    <mergeCell ref="A92:E92"/>
    <mergeCell ref="G92:K92"/>
    <mergeCell ref="A106:E106"/>
    <mergeCell ref="G106:K106"/>
    <mergeCell ref="A112:E112"/>
    <mergeCell ref="G112:K112"/>
    <mergeCell ref="I84:I89"/>
    <mergeCell ref="A77:A83"/>
    <mergeCell ref="B77:B83"/>
    <mergeCell ref="C77:C83"/>
    <mergeCell ref="G77:G83"/>
    <mergeCell ref="H77:H83"/>
    <mergeCell ref="I77:I83"/>
    <mergeCell ref="A84:A89"/>
    <mergeCell ref="B84:B89"/>
    <mergeCell ref="C84:C89"/>
    <mergeCell ref="G84:G89"/>
    <mergeCell ref="H84:H89"/>
    <mergeCell ref="I68:I75"/>
    <mergeCell ref="A60:A67"/>
    <mergeCell ref="B60:B67"/>
    <mergeCell ref="C60:C67"/>
    <mergeCell ref="G60:G67"/>
    <mergeCell ref="H60:H67"/>
    <mergeCell ref="I60:I67"/>
    <mergeCell ref="A68:A75"/>
    <mergeCell ref="B68:B75"/>
    <mergeCell ref="C68:C75"/>
    <mergeCell ref="G68:G75"/>
    <mergeCell ref="H68:H75"/>
    <mergeCell ref="I52:I59"/>
    <mergeCell ref="A44:A51"/>
    <mergeCell ref="B44:B51"/>
    <mergeCell ref="C44:C51"/>
    <mergeCell ref="G44:G51"/>
    <mergeCell ref="H44:H51"/>
    <mergeCell ref="I44:I51"/>
    <mergeCell ref="A52:A59"/>
    <mergeCell ref="B52:B59"/>
    <mergeCell ref="C52:C59"/>
    <mergeCell ref="G52:G59"/>
    <mergeCell ref="H52:H59"/>
    <mergeCell ref="I36:I43"/>
    <mergeCell ref="A1:E1"/>
    <mergeCell ref="G1:K1"/>
    <mergeCell ref="A21:E21"/>
    <mergeCell ref="G21:K21"/>
    <mergeCell ref="A34:E34"/>
    <mergeCell ref="G34:K34"/>
    <mergeCell ref="A36:A43"/>
    <mergeCell ref="B36:B43"/>
    <mergeCell ref="C36:C43"/>
    <mergeCell ref="G36:G43"/>
    <mergeCell ref="H36:H4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0C610-B019-49A3-9843-9976D76597C4}">
  <sheetPr>
    <tabColor rgb="FF92D050"/>
  </sheetPr>
  <dimension ref="A1:L115"/>
  <sheetViews>
    <sheetView topLeftCell="G1" zoomScale="70" zoomScaleNormal="70" workbookViewId="0">
      <pane ySplit="1" topLeftCell="A22" activePane="bottomLeft" state="frozen"/>
      <selection activeCell="K104" sqref="K104"/>
      <selection pane="bottomLeft" activeCell="H34" sqref="H34:L34"/>
    </sheetView>
  </sheetViews>
  <sheetFormatPr defaultColWidth="9" defaultRowHeight="13.8" outlineLevelCol="1"/>
  <cols>
    <col min="1" max="1" width="11" style="4" hidden="1" customWidth="1" outlineLevel="1"/>
    <col min="2" max="2" width="11.109375" style="4" hidden="1" customWidth="1" outlineLevel="1"/>
    <col min="3" max="3" width="31.33203125" style="4" hidden="1" customWidth="1" outlineLevel="1"/>
    <col min="4" max="4" width="9" style="4" hidden="1" customWidth="1" outlineLevel="1"/>
    <col min="5" max="5" width="80" style="4" hidden="1" customWidth="1" outlineLevel="1"/>
    <col min="6" max="6" width="9" style="4" hidden="1" customWidth="1" outlineLevel="1"/>
    <col min="7" max="7" width="9" style="4" collapsed="1"/>
    <col min="8" max="9" width="9" style="4"/>
    <col min="10" max="10" width="39.77734375" style="127" customWidth="1"/>
    <col min="11" max="11" width="16.109375" style="4" customWidth="1"/>
    <col min="12" max="12" width="60" style="4" customWidth="1"/>
    <col min="13" max="13" width="31.33203125" style="4" customWidth="1"/>
    <col min="14" max="16384" width="9" style="4"/>
  </cols>
  <sheetData>
    <row r="1" spans="1:12">
      <c r="A1" s="415" t="s">
        <v>692</v>
      </c>
      <c r="B1" s="416"/>
      <c r="C1" s="416"/>
      <c r="D1" s="416"/>
      <c r="E1" s="416"/>
      <c r="H1" s="387" t="s">
        <v>693</v>
      </c>
      <c r="I1" s="388"/>
      <c r="J1" s="388"/>
      <c r="K1" s="388"/>
      <c r="L1" s="388"/>
    </row>
    <row r="2" spans="1:12">
      <c r="A2" s="148" t="s">
        <v>74</v>
      </c>
      <c r="B2" s="148" t="s">
        <v>75</v>
      </c>
      <c r="C2" s="149" t="s">
        <v>232</v>
      </c>
      <c r="D2" s="150" t="s">
        <v>78</v>
      </c>
      <c r="E2" s="98" t="s">
        <v>420</v>
      </c>
      <c r="H2" s="40" t="s">
        <v>74</v>
      </c>
      <c r="I2" s="40" t="s">
        <v>75</v>
      </c>
      <c r="J2" s="99" t="s">
        <v>232</v>
      </c>
      <c r="K2" s="151" t="s">
        <v>78</v>
      </c>
      <c r="L2" s="151" t="s">
        <v>420</v>
      </c>
    </row>
    <row r="3" spans="1:12">
      <c r="A3" s="152" t="str">
        <f>DEC2HEX(B3)</f>
        <v>0</v>
      </c>
      <c r="B3" s="152">
        <v>0</v>
      </c>
      <c r="C3" s="153" t="s">
        <v>609</v>
      </c>
      <c r="D3" s="28" t="s">
        <v>82</v>
      </c>
      <c r="E3" s="28"/>
      <c r="H3" s="118" t="str">
        <f>DEC2HEX(I3)</f>
        <v>0</v>
      </c>
      <c r="I3" s="118">
        <v>0</v>
      </c>
      <c r="J3" s="154" t="s">
        <v>610</v>
      </c>
      <c r="K3" s="26" t="s">
        <v>82</v>
      </c>
      <c r="L3" s="155" t="s">
        <v>422</v>
      </c>
    </row>
    <row r="4" spans="1:12">
      <c r="A4" s="152" t="str">
        <f t="shared" ref="A4:A14" si="0">DEC2HEX(B4)</f>
        <v>4</v>
      </c>
      <c r="B4" s="152">
        <v>4</v>
      </c>
      <c r="C4" s="153" t="s">
        <v>611</v>
      </c>
      <c r="D4" s="28" t="s">
        <v>82</v>
      </c>
      <c r="E4" s="28"/>
      <c r="H4" s="118" t="str">
        <f t="shared" ref="H4:H18" si="1">DEC2HEX(I4)</f>
        <v>4</v>
      </c>
      <c r="I4" s="118">
        <v>4</v>
      </c>
      <c r="J4" s="154" t="s">
        <v>612</v>
      </c>
      <c r="K4" s="26" t="s">
        <v>82</v>
      </c>
      <c r="L4" s="155" t="s">
        <v>424</v>
      </c>
    </row>
    <row r="5" spans="1:12">
      <c r="A5" s="152" t="str">
        <f t="shared" si="0"/>
        <v>8</v>
      </c>
      <c r="B5" s="152">
        <v>8</v>
      </c>
      <c r="C5" s="153" t="s">
        <v>613</v>
      </c>
      <c r="D5" s="28" t="s">
        <v>82</v>
      </c>
      <c r="E5" s="28"/>
      <c r="H5" s="118" t="str">
        <f t="shared" si="1"/>
        <v>8</v>
      </c>
      <c r="I5" s="118">
        <v>8</v>
      </c>
      <c r="J5" s="154" t="s">
        <v>614</v>
      </c>
      <c r="K5" s="26" t="s">
        <v>82</v>
      </c>
      <c r="L5" s="155" t="s">
        <v>427</v>
      </c>
    </row>
    <row r="6" spans="1:12">
      <c r="A6" s="152" t="str">
        <f t="shared" si="0"/>
        <v>C</v>
      </c>
      <c r="B6" s="152">
        <v>12</v>
      </c>
      <c r="C6" s="153" t="s">
        <v>615</v>
      </c>
      <c r="D6" s="28" t="s">
        <v>389</v>
      </c>
      <c r="E6" s="28"/>
      <c r="H6" s="118" t="str">
        <f t="shared" si="1"/>
        <v>C</v>
      </c>
      <c r="I6" s="118">
        <v>12</v>
      </c>
      <c r="J6" s="156" t="s">
        <v>429</v>
      </c>
      <c r="K6" s="26" t="s">
        <v>231</v>
      </c>
      <c r="L6" s="26" t="s">
        <v>616</v>
      </c>
    </row>
    <row r="7" spans="1:12" ht="27.6">
      <c r="A7" s="152" t="str">
        <f t="shared" si="0"/>
        <v>E</v>
      </c>
      <c r="B7" s="152">
        <v>14</v>
      </c>
      <c r="C7" s="153" t="s">
        <v>431</v>
      </c>
      <c r="D7" s="28" t="s">
        <v>389</v>
      </c>
      <c r="E7" s="28"/>
      <c r="H7" s="118" t="str">
        <f t="shared" si="1"/>
        <v>10</v>
      </c>
      <c r="I7" s="118">
        <v>16</v>
      </c>
      <c r="J7" s="156" t="s">
        <v>617</v>
      </c>
      <c r="K7" s="26" t="s">
        <v>231</v>
      </c>
      <c r="L7" s="157" t="s">
        <v>433</v>
      </c>
    </row>
    <row r="8" spans="1:12" ht="69">
      <c r="A8" s="152" t="str">
        <f t="shared" si="0"/>
        <v>10</v>
      </c>
      <c r="B8" s="152">
        <v>16</v>
      </c>
      <c r="C8" s="158" t="s">
        <v>434</v>
      </c>
      <c r="D8" s="28" t="s">
        <v>82</v>
      </c>
      <c r="E8" s="28"/>
      <c r="H8" s="118" t="str">
        <f t="shared" si="1"/>
        <v>14</v>
      </c>
      <c r="I8" s="118">
        <v>20</v>
      </c>
      <c r="J8" s="156" t="s">
        <v>618</v>
      </c>
      <c r="K8" s="26" t="s">
        <v>82</v>
      </c>
      <c r="L8" s="111" t="s">
        <v>437</v>
      </c>
    </row>
    <row r="9" spans="1:12" ht="25.95" customHeight="1">
      <c r="A9" s="152" t="str">
        <f t="shared" si="0"/>
        <v>14</v>
      </c>
      <c r="B9" s="152">
        <v>20</v>
      </c>
      <c r="C9" s="153" t="s">
        <v>438</v>
      </c>
      <c r="D9" s="28" t="s">
        <v>439</v>
      </c>
      <c r="E9" s="110" t="s">
        <v>619</v>
      </c>
      <c r="H9" s="118" t="str">
        <f t="shared" si="1"/>
        <v>15</v>
      </c>
      <c r="I9" s="118">
        <v>21</v>
      </c>
      <c r="J9" s="156" t="s">
        <v>620</v>
      </c>
      <c r="K9" s="26"/>
      <c r="L9" s="159"/>
    </row>
    <row r="10" spans="1:12">
      <c r="A10" s="152" t="str">
        <f t="shared" si="0"/>
        <v>16</v>
      </c>
      <c r="B10" s="152">
        <v>22</v>
      </c>
      <c r="C10" s="160" t="s">
        <v>443</v>
      </c>
      <c r="D10" s="28" t="s">
        <v>389</v>
      </c>
      <c r="E10" s="28"/>
      <c r="H10" s="118" t="str">
        <f>DEC2HEX(I10)</f>
        <v>16</v>
      </c>
      <c r="I10" s="118">
        <v>22</v>
      </c>
      <c r="J10" s="156" t="s">
        <v>621</v>
      </c>
      <c r="K10" s="26" t="s">
        <v>389</v>
      </c>
      <c r="L10" s="155" t="s">
        <v>445</v>
      </c>
    </row>
    <row r="11" spans="1:12">
      <c r="A11" s="152" t="str">
        <f t="shared" si="0"/>
        <v>18</v>
      </c>
      <c r="B11" s="161">
        <v>24</v>
      </c>
      <c r="C11" s="153" t="s">
        <v>446</v>
      </c>
      <c r="D11" s="28" t="s">
        <v>447</v>
      </c>
      <c r="E11" s="28" t="s">
        <v>448</v>
      </c>
      <c r="H11" s="118" t="str">
        <f t="shared" si="1"/>
        <v>18</v>
      </c>
      <c r="I11" s="118">
        <v>24</v>
      </c>
      <c r="J11" s="156" t="s">
        <v>622</v>
      </c>
      <c r="K11" s="26" t="s">
        <v>450</v>
      </c>
      <c r="L11" s="155" t="s">
        <v>451</v>
      </c>
    </row>
    <row r="12" spans="1:12">
      <c r="A12" s="152" t="str">
        <f t="shared" si="0"/>
        <v>19</v>
      </c>
      <c r="B12" s="162">
        <v>25</v>
      </c>
      <c r="C12" s="163" t="s">
        <v>452</v>
      </c>
      <c r="D12" s="28" t="s">
        <v>447</v>
      </c>
      <c r="E12" s="28" t="s">
        <v>453</v>
      </c>
      <c r="H12" s="118" t="str">
        <f t="shared" si="1"/>
        <v>1A</v>
      </c>
      <c r="I12" s="164">
        <v>26</v>
      </c>
      <c r="J12" s="156" t="s">
        <v>454</v>
      </c>
      <c r="K12" s="26" t="s">
        <v>447</v>
      </c>
      <c r="L12" s="26" t="s">
        <v>448</v>
      </c>
    </row>
    <row r="13" spans="1:12" ht="27.6">
      <c r="A13" s="152" t="str">
        <f t="shared" si="0"/>
        <v>1A</v>
      </c>
      <c r="B13" s="152">
        <v>26</v>
      </c>
      <c r="C13" s="98" t="s">
        <v>455</v>
      </c>
      <c r="D13" s="28" t="s">
        <v>82</v>
      </c>
      <c r="E13" s="28"/>
      <c r="H13" s="118" t="str">
        <f t="shared" si="1"/>
        <v>1B</v>
      </c>
      <c r="I13" s="118">
        <v>27</v>
      </c>
      <c r="J13" s="156" t="s">
        <v>456</v>
      </c>
      <c r="K13" s="26" t="s">
        <v>447</v>
      </c>
      <c r="L13" s="159" t="s">
        <v>457</v>
      </c>
    </row>
    <row r="14" spans="1:12">
      <c r="A14" s="152" t="str">
        <f t="shared" si="0"/>
        <v>1E</v>
      </c>
      <c r="B14" s="152">
        <v>30</v>
      </c>
      <c r="C14" s="98" t="s">
        <v>458</v>
      </c>
      <c r="D14" s="28" t="s">
        <v>447</v>
      </c>
      <c r="E14" s="28"/>
      <c r="H14" s="118" t="str">
        <f t="shared" si="1"/>
        <v>1C</v>
      </c>
      <c r="I14" s="118">
        <v>28</v>
      </c>
      <c r="J14" s="165" t="s">
        <v>623</v>
      </c>
      <c r="K14" s="26" t="s">
        <v>447</v>
      </c>
      <c r="L14" s="26" t="s">
        <v>460</v>
      </c>
    </row>
    <row r="15" spans="1:12">
      <c r="H15" s="118" t="str">
        <f t="shared" si="1"/>
        <v>1D</v>
      </c>
      <c r="I15" s="118">
        <v>29</v>
      </c>
      <c r="J15" s="165" t="s">
        <v>624</v>
      </c>
      <c r="K15" s="26" t="s">
        <v>447</v>
      </c>
      <c r="L15" s="155" t="s">
        <v>462</v>
      </c>
    </row>
    <row r="16" spans="1:12">
      <c r="H16" s="118" t="str">
        <f t="shared" si="1"/>
        <v>1E</v>
      </c>
      <c r="I16" s="118">
        <v>30</v>
      </c>
      <c r="J16" s="165" t="s">
        <v>625</v>
      </c>
      <c r="K16" s="26" t="s">
        <v>464</v>
      </c>
      <c r="L16" s="155" t="s">
        <v>465</v>
      </c>
    </row>
    <row r="17" spans="1:12">
      <c r="H17" s="118" t="str">
        <f t="shared" si="1"/>
        <v>22</v>
      </c>
      <c r="I17" s="118">
        <v>34</v>
      </c>
      <c r="J17" s="156" t="s">
        <v>466</v>
      </c>
      <c r="K17" s="26" t="s">
        <v>447</v>
      </c>
      <c r="L17" s="155" t="s">
        <v>467</v>
      </c>
    </row>
    <row r="18" spans="1:12">
      <c r="H18" s="118" t="str">
        <f t="shared" si="1"/>
        <v>23</v>
      </c>
      <c r="I18" s="118">
        <v>35</v>
      </c>
      <c r="J18" s="156" t="s">
        <v>468</v>
      </c>
      <c r="K18" s="26" t="s">
        <v>464</v>
      </c>
      <c r="L18" s="155" t="s">
        <v>469</v>
      </c>
    </row>
    <row r="19" spans="1:12">
      <c r="H19" s="5"/>
      <c r="I19" s="5"/>
      <c r="J19" s="166"/>
      <c r="K19" s="5"/>
      <c r="L19" s="5"/>
    </row>
    <row r="20" spans="1:12">
      <c r="H20" s="5"/>
      <c r="I20" s="5"/>
      <c r="J20" s="166"/>
      <c r="K20" s="5"/>
      <c r="L20" s="5"/>
    </row>
    <row r="21" spans="1:12">
      <c r="A21" s="417" t="s">
        <v>694</v>
      </c>
      <c r="B21" s="418"/>
      <c r="C21" s="418"/>
      <c r="D21" s="418"/>
      <c r="E21" s="419"/>
      <c r="H21" s="420" t="s">
        <v>701</v>
      </c>
      <c r="I21" s="421"/>
      <c r="J21" s="421"/>
      <c r="K21" s="421"/>
      <c r="L21" s="422"/>
    </row>
    <row r="22" spans="1:12">
      <c r="A22" s="148" t="s">
        <v>74</v>
      </c>
      <c r="B22" s="148" t="s">
        <v>75</v>
      </c>
      <c r="C22" s="167" t="s">
        <v>232</v>
      </c>
      <c r="D22" s="150" t="s">
        <v>78</v>
      </c>
      <c r="E22" s="98" t="s">
        <v>420</v>
      </c>
      <c r="H22" s="40" t="s">
        <v>74</v>
      </c>
      <c r="I22" s="40" t="s">
        <v>75</v>
      </c>
      <c r="J22" s="120" t="s">
        <v>232</v>
      </c>
      <c r="K22" s="151" t="s">
        <v>78</v>
      </c>
      <c r="L22" s="151" t="s">
        <v>420</v>
      </c>
    </row>
    <row r="23" spans="1:12">
      <c r="A23" s="168" t="str">
        <f>DEC2HEX(B23)</f>
        <v>0</v>
      </c>
      <c r="B23" s="168">
        <v>0</v>
      </c>
      <c r="C23" s="149" t="s">
        <v>471</v>
      </c>
      <c r="D23" s="28" t="s">
        <v>82</v>
      </c>
      <c r="E23" s="28" t="s">
        <v>626</v>
      </c>
      <c r="H23" s="121" t="str">
        <f>DEC2HEX(I23)</f>
        <v>0</v>
      </c>
      <c r="I23" s="121">
        <v>0</v>
      </c>
      <c r="J23" s="97" t="s">
        <v>471</v>
      </c>
      <c r="K23" s="28" t="s">
        <v>82</v>
      </c>
      <c r="L23" s="251" t="s">
        <v>885</v>
      </c>
    </row>
    <row r="24" spans="1:12">
      <c r="A24" s="168" t="str">
        <f t="shared" ref="A24:A31" si="2">DEC2HEX(B24)</f>
        <v>4</v>
      </c>
      <c r="B24" s="168">
        <v>4</v>
      </c>
      <c r="C24" s="149" t="s">
        <v>473</v>
      </c>
      <c r="D24" s="28" t="s">
        <v>82</v>
      </c>
      <c r="E24" s="28" t="s">
        <v>474</v>
      </c>
      <c r="H24" s="121" t="str">
        <f t="shared" ref="H24:H26" si="3">DEC2HEX(I24)</f>
        <v>4</v>
      </c>
      <c r="I24" s="121">
        <v>4</v>
      </c>
      <c r="J24" s="97" t="s">
        <v>473</v>
      </c>
      <c r="K24" s="28" t="s">
        <v>82</v>
      </c>
      <c r="L24" s="252" t="s">
        <v>886</v>
      </c>
    </row>
    <row r="25" spans="1:12">
      <c r="A25" s="168" t="str">
        <f t="shared" si="2"/>
        <v>8</v>
      </c>
      <c r="B25" s="168">
        <v>8</v>
      </c>
      <c r="C25" s="149" t="s">
        <v>475</v>
      </c>
      <c r="D25" s="28" t="s">
        <v>82</v>
      </c>
      <c r="E25" s="28" t="s">
        <v>476</v>
      </c>
      <c r="H25" s="121" t="str">
        <f t="shared" si="3"/>
        <v>8</v>
      </c>
      <c r="I25" s="121">
        <v>8</v>
      </c>
      <c r="J25" s="97" t="s">
        <v>475</v>
      </c>
      <c r="K25" s="28" t="s">
        <v>82</v>
      </c>
      <c r="L25" s="252" t="s">
        <v>887</v>
      </c>
    </row>
    <row r="26" spans="1:12">
      <c r="A26" s="168" t="str">
        <f t="shared" si="2"/>
        <v>C</v>
      </c>
      <c r="B26" s="168">
        <v>12</v>
      </c>
      <c r="C26" s="149" t="s">
        <v>477</v>
      </c>
      <c r="D26" s="28" t="s">
        <v>82</v>
      </c>
      <c r="E26" s="28" t="s">
        <v>478</v>
      </c>
      <c r="H26" s="121" t="str">
        <f t="shared" si="3"/>
        <v>C</v>
      </c>
      <c r="I26" s="121">
        <v>12</v>
      </c>
      <c r="J26" s="97" t="s">
        <v>477</v>
      </c>
      <c r="K26" s="28" t="s">
        <v>82</v>
      </c>
      <c r="L26" s="252" t="s">
        <v>888</v>
      </c>
    </row>
    <row r="27" spans="1:12">
      <c r="A27" s="168" t="str">
        <f t="shared" si="2"/>
        <v>10</v>
      </c>
      <c r="B27" s="168">
        <v>16</v>
      </c>
      <c r="C27" s="122" t="s">
        <v>479</v>
      </c>
      <c r="D27" s="28" t="s">
        <v>82</v>
      </c>
      <c r="E27" s="28" t="s">
        <v>627</v>
      </c>
      <c r="H27" s="121" t="str">
        <f>DEC2HEX(I27)</f>
        <v>10</v>
      </c>
      <c r="I27" s="121">
        <v>16</v>
      </c>
      <c r="J27" s="98" t="s">
        <v>481</v>
      </c>
      <c r="K27" s="28" t="s">
        <v>82</v>
      </c>
      <c r="L27" s="28" t="s">
        <v>482</v>
      </c>
    </row>
    <row r="28" spans="1:12" ht="27.6">
      <c r="A28" s="168" t="str">
        <f t="shared" si="2"/>
        <v>14</v>
      </c>
      <c r="B28" s="168">
        <v>20</v>
      </c>
      <c r="C28" s="169" t="s">
        <v>695</v>
      </c>
      <c r="D28" s="28" t="s">
        <v>82</v>
      </c>
      <c r="E28" s="28" t="s">
        <v>484</v>
      </c>
      <c r="H28" s="121" t="str">
        <f>DEC2HEX(I28)</f>
        <v>14</v>
      </c>
      <c r="I28" s="121">
        <v>20</v>
      </c>
      <c r="J28" s="98" t="s">
        <v>485</v>
      </c>
      <c r="K28" s="28" t="s">
        <v>82</v>
      </c>
      <c r="L28" s="28" t="s">
        <v>486</v>
      </c>
    </row>
    <row r="29" spans="1:12">
      <c r="A29" s="168" t="str">
        <f t="shared" si="2"/>
        <v>18</v>
      </c>
      <c r="B29" s="168">
        <v>24</v>
      </c>
      <c r="C29" s="123" t="s">
        <v>628</v>
      </c>
      <c r="D29" s="28" t="s">
        <v>82</v>
      </c>
      <c r="E29" s="28" t="s">
        <v>629</v>
      </c>
      <c r="H29" s="121" t="str">
        <f>DEC2HEX(I29)</f>
        <v>18</v>
      </c>
      <c r="I29" s="121">
        <v>24</v>
      </c>
      <c r="J29" s="124" t="s">
        <v>489</v>
      </c>
      <c r="K29" s="28" t="s">
        <v>82</v>
      </c>
      <c r="L29" s="28" t="s">
        <v>490</v>
      </c>
    </row>
    <row r="30" spans="1:12">
      <c r="A30" s="168" t="str">
        <f t="shared" si="2"/>
        <v>1C</v>
      </c>
      <c r="B30" s="168">
        <v>28</v>
      </c>
      <c r="C30" s="150" t="s">
        <v>491</v>
      </c>
      <c r="D30" s="28" t="s">
        <v>82</v>
      </c>
      <c r="E30" s="28" t="s">
        <v>482</v>
      </c>
      <c r="H30" s="121" t="str">
        <f>DEC2HEX(I30)</f>
        <v>1C</v>
      </c>
      <c r="I30" s="121">
        <v>28</v>
      </c>
      <c r="J30" s="122" t="s">
        <v>492</v>
      </c>
      <c r="K30" s="28" t="s">
        <v>82</v>
      </c>
      <c r="L30" s="28" t="s">
        <v>480</v>
      </c>
    </row>
    <row r="31" spans="1:12">
      <c r="A31" s="168" t="str">
        <f t="shared" si="2"/>
        <v>20</v>
      </c>
      <c r="B31" s="168">
        <v>32</v>
      </c>
      <c r="C31" s="150" t="s">
        <v>485</v>
      </c>
      <c r="D31" s="28" t="s">
        <v>82</v>
      </c>
      <c r="E31" s="28" t="s">
        <v>486</v>
      </c>
      <c r="H31" s="121" t="str">
        <f>DEC2HEX(I31)</f>
        <v>20</v>
      </c>
      <c r="I31" s="121">
        <v>32</v>
      </c>
      <c r="J31" s="123" t="s">
        <v>493</v>
      </c>
      <c r="K31" s="28" t="s">
        <v>82</v>
      </c>
      <c r="L31" s="28" t="s">
        <v>484</v>
      </c>
    </row>
    <row r="32" spans="1:12">
      <c r="A32" s="170"/>
      <c r="B32" s="170"/>
      <c r="C32" s="171"/>
      <c r="H32" s="172">
        <v>24</v>
      </c>
      <c r="I32" s="173">
        <v>36</v>
      </c>
      <c r="J32" s="174" t="s">
        <v>630</v>
      </c>
      <c r="K32" s="175" t="s">
        <v>82</v>
      </c>
      <c r="L32" s="175" t="s">
        <v>495</v>
      </c>
    </row>
    <row r="33" spans="1:12" ht="19.95" customHeight="1"/>
    <row r="34" spans="1:12" ht="19.95" customHeight="1">
      <c r="A34" s="423" t="s">
        <v>696</v>
      </c>
      <c r="B34" s="424"/>
      <c r="C34" s="424"/>
      <c r="D34" s="424"/>
      <c r="E34" s="425"/>
      <c r="H34" s="400" t="s">
        <v>1031</v>
      </c>
      <c r="I34" s="401"/>
      <c r="J34" s="401"/>
      <c r="K34" s="401"/>
      <c r="L34" s="402"/>
    </row>
    <row r="35" spans="1:12" ht="19.95" customHeight="1">
      <c r="A35" s="148" t="s">
        <v>74</v>
      </c>
      <c r="B35" s="148" t="s">
        <v>75</v>
      </c>
      <c r="C35" s="149" t="s">
        <v>232</v>
      </c>
      <c r="D35" s="176"/>
      <c r="E35" s="98" t="s">
        <v>497</v>
      </c>
      <c r="H35" s="40" t="s">
        <v>74</v>
      </c>
      <c r="I35" s="40" t="s">
        <v>75</v>
      </c>
      <c r="J35" s="97" t="s">
        <v>232</v>
      </c>
      <c r="K35" s="128"/>
      <c r="L35" s="98" t="s">
        <v>497</v>
      </c>
    </row>
    <row r="36" spans="1:12" ht="19.95" customHeight="1">
      <c r="A36" s="426">
        <v>0</v>
      </c>
      <c r="B36" s="426">
        <v>0</v>
      </c>
      <c r="C36" s="427" t="s">
        <v>498</v>
      </c>
      <c r="D36" s="28" t="s">
        <v>499</v>
      </c>
      <c r="E36" s="177" t="s">
        <v>500</v>
      </c>
      <c r="H36" s="403">
        <v>0</v>
      </c>
      <c r="I36" s="404">
        <v>0</v>
      </c>
      <c r="J36" s="386" t="s">
        <v>498</v>
      </c>
      <c r="K36" s="28" t="s">
        <v>499</v>
      </c>
      <c r="L36" s="131" t="s">
        <v>500</v>
      </c>
    </row>
    <row r="37" spans="1:12" ht="19.95" customHeight="1">
      <c r="A37" s="426"/>
      <c r="B37" s="426"/>
      <c r="C37" s="427"/>
      <c r="D37" s="28" t="s">
        <v>502</v>
      </c>
      <c r="E37" s="177" t="s">
        <v>503</v>
      </c>
      <c r="H37" s="403"/>
      <c r="I37" s="405"/>
      <c r="J37" s="386"/>
      <c r="K37" s="28" t="s">
        <v>502</v>
      </c>
      <c r="L37" s="131" t="s">
        <v>503</v>
      </c>
    </row>
    <row r="38" spans="1:12" ht="19.95" customHeight="1">
      <c r="A38" s="426"/>
      <c r="B38" s="426"/>
      <c r="C38" s="427"/>
      <c r="D38" s="28" t="s">
        <v>504</v>
      </c>
      <c r="E38" s="177" t="s">
        <v>505</v>
      </c>
      <c r="H38" s="403"/>
      <c r="I38" s="405"/>
      <c r="J38" s="386"/>
      <c r="K38" s="28" t="s">
        <v>504</v>
      </c>
      <c r="L38" s="131" t="s">
        <v>505</v>
      </c>
    </row>
    <row r="39" spans="1:12" ht="19.95" customHeight="1">
      <c r="A39" s="426"/>
      <c r="B39" s="426"/>
      <c r="C39" s="427"/>
      <c r="D39" s="28" t="s">
        <v>506</v>
      </c>
      <c r="E39" s="177" t="s">
        <v>507</v>
      </c>
      <c r="H39" s="403"/>
      <c r="I39" s="405"/>
      <c r="J39" s="386"/>
      <c r="K39" s="28" t="s">
        <v>506</v>
      </c>
      <c r="L39" s="131" t="s">
        <v>507</v>
      </c>
    </row>
    <row r="40" spans="1:12">
      <c r="A40" s="426"/>
      <c r="B40" s="426"/>
      <c r="C40" s="427"/>
      <c r="D40" s="28" t="s">
        <v>509</v>
      </c>
      <c r="E40" s="177" t="s">
        <v>510</v>
      </c>
      <c r="H40" s="403"/>
      <c r="I40" s="405"/>
      <c r="J40" s="386"/>
      <c r="K40" s="28" t="s">
        <v>509</v>
      </c>
      <c r="L40" s="131" t="s">
        <v>510</v>
      </c>
    </row>
    <row r="41" spans="1:12" ht="19.95" customHeight="1">
      <c r="A41" s="426"/>
      <c r="B41" s="426"/>
      <c r="C41" s="427"/>
      <c r="D41" s="28" t="s">
        <v>511</v>
      </c>
      <c r="E41" s="177" t="s">
        <v>512</v>
      </c>
      <c r="H41" s="403"/>
      <c r="I41" s="405"/>
      <c r="J41" s="386"/>
      <c r="K41" s="28" t="s">
        <v>511</v>
      </c>
      <c r="L41" s="131" t="s">
        <v>512</v>
      </c>
    </row>
    <row r="42" spans="1:12" ht="19.95" customHeight="1">
      <c r="A42" s="426"/>
      <c r="B42" s="426"/>
      <c r="C42" s="427"/>
      <c r="D42" s="28" t="s">
        <v>513</v>
      </c>
      <c r="E42" s="177" t="s">
        <v>514</v>
      </c>
      <c r="H42" s="403"/>
      <c r="I42" s="405"/>
      <c r="J42" s="386"/>
      <c r="K42" s="28" t="s">
        <v>513</v>
      </c>
      <c r="L42" s="129" t="s">
        <v>515</v>
      </c>
    </row>
    <row r="43" spans="1:12" ht="19.95" customHeight="1">
      <c r="A43" s="426"/>
      <c r="B43" s="426"/>
      <c r="C43" s="427"/>
      <c r="D43" s="28" t="s">
        <v>516</v>
      </c>
      <c r="E43" s="177" t="s">
        <v>517</v>
      </c>
      <c r="H43" s="403"/>
      <c r="I43" s="406"/>
      <c r="J43" s="386"/>
      <c r="K43" s="28" t="s">
        <v>516</v>
      </c>
      <c r="L43" s="129" t="s">
        <v>517</v>
      </c>
    </row>
    <row r="44" spans="1:12" ht="19.95" customHeight="1">
      <c r="A44" s="426">
        <v>1</v>
      </c>
      <c r="B44" s="426">
        <v>1</v>
      </c>
      <c r="C44" s="427" t="s">
        <v>498</v>
      </c>
      <c r="D44" s="28" t="s">
        <v>499</v>
      </c>
      <c r="E44" s="177" t="s">
        <v>518</v>
      </c>
      <c r="H44" s="403">
        <v>1</v>
      </c>
      <c r="I44" s="403">
        <v>1</v>
      </c>
      <c r="J44" s="386" t="s">
        <v>498</v>
      </c>
      <c r="K44" s="28" t="s">
        <v>499</v>
      </c>
      <c r="L44" s="347" t="s">
        <v>519</v>
      </c>
    </row>
    <row r="45" spans="1:12" ht="19.95" customHeight="1">
      <c r="A45" s="426"/>
      <c r="B45" s="426"/>
      <c r="C45" s="427"/>
      <c r="D45" s="28" t="s">
        <v>502</v>
      </c>
      <c r="E45" s="177" t="s">
        <v>520</v>
      </c>
      <c r="H45" s="403"/>
      <c r="I45" s="403"/>
      <c r="J45" s="386"/>
      <c r="K45" s="28" t="s">
        <v>502</v>
      </c>
      <c r="L45" s="129" t="s">
        <v>520</v>
      </c>
    </row>
    <row r="46" spans="1:12" ht="19.95" customHeight="1">
      <c r="A46" s="426"/>
      <c r="B46" s="426"/>
      <c r="C46" s="427"/>
      <c r="D46" s="28" t="s">
        <v>504</v>
      </c>
      <c r="E46" s="177" t="s">
        <v>521</v>
      </c>
      <c r="H46" s="403"/>
      <c r="I46" s="403"/>
      <c r="J46" s="386"/>
      <c r="K46" s="28" t="s">
        <v>504</v>
      </c>
      <c r="L46" s="129" t="s">
        <v>522</v>
      </c>
    </row>
    <row r="47" spans="1:12" ht="19.95" customHeight="1">
      <c r="A47" s="426"/>
      <c r="B47" s="426"/>
      <c r="C47" s="427"/>
      <c r="D47" s="28" t="s">
        <v>506</v>
      </c>
      <c r="E47" s="177" t="s">
        <v>631</v>
      </c>
      <c r="H47" s="403"/>
      <c r="I47" s="403"/>
      <c r="J47" s="386"/>
      <c r="K47" s="28" t="s">
        <v>506</v>
      </c>
      <c r="L47" s="129" t="s">
        <v>524</v>
      </c>
    </row>
    <row r="48" spans="1:12">
      <c r="A48" s="426"/>
      <c r="B48" s="426"/>
      <c r="C48" s="427"/>
      <c r="D48" s="28" t="s">
        <v>509</v>
      </c>
      <c r="E48" s="177" t="s">
        <v>525</v>
      </c>
      <c r="H48" s="403"/>
      <c r="I48" s="403"/>
      <c r="J48" s="386"/>
      <c r="K48" s="28" t="s">
        <v>509</v>
      </c>
      <c r="L48" s="129" t="s">
        <v>526</v>
      </c>
    </row>
    <row r="49" spans="1:12" ht="19.95" customHeight="1">
      <c r="A49" s="426"/>
      <c r="B49" s="426"/>
      <c r="C49" s="427"/>
      <c r="D49" s="28" t="s">
        <v>511</v>
      </c>
      <c r="E49" s="177" t="s">
        <v>527</v>
      </c>
      <c r="H49" s="403"/>
      <c r="I49" s="403"/>
      <c r="J49" s="386"/>
      <c r="K49" s="28" t="s">
        <v>511</v>
      </c>
      <c r="L49" s="147" t="s">
        <v>901</v>
      </c>
    </row>
    <row r="50" spans="1:12" ht="19.95" customHeight="1">
      <c r="A50" s="426"/>
      <c r="B50" s="426"/>
      <c r="C50" s="427"/>
      <c r="D50" s="28" t="s">
        <v>513</v>
      </c>
      <c r="E50" s="177" t="s">
        <v>528</v>
      </c>
      <c r="H50" s="403"/>
      <c r="I50" s="403"/>
      <c r="J50" s="386"/>
      <c r="K50" s="28" t="s">
        <v>513</v>
      </c>
      <c r="L50" s="143" t="s">
        <v>529</v>
      </c>
    </row>
    <row r="51" spans="1:12" ht="19.95" customHeight="1">
      <c r="A51" s="426"/>
      <c r="B51" s="426"/>
      <c r="C51" s="427"/>
      <c r="D51" s="28" t="s">
        <v>516</v>
      </c>
      <c r="E51" s="177" t="s">
        <v>530</v>
      </c>
      <c r="H51" s="403"/>
      <c r="I51" s="403"/>
      <c r="J51" s="386"/>
      <c r="K51" s="28" t="s">
        <v>516</v>
      </c>
      <c r="L51" s="129" t="s">
        <v>530</v>
      </c>
    </row>
    <row r="52" spans="1:12" ht="19.95" customHeight="1">
      <c r="A52" s="426">
        <v>2</v>
      </c>
      <c r="B52" s="426">
        <v>2</v>
      </c>
      <c r="C52" s="427" t="s">
        <v>498</v>
      </c>
      <c r="D52" s="28" t="s">
        <v>499</v>
      </c>
      <c r="E52" s="177" t="s">
        <v>531</v>
      </c>
      <c r="H52" s="403">
        <v>2</v>
      </c>
      <c r="I52" s="403">
        <v>2</v>
      </c>
      <c r="J52" s="386" t="s">
        <v>498</v>
      </c>
      <c r="K52" s="28" t="s">
        <v>499</v>
      </c>
      <c r="L52" s="129" t="s">
        <v>531</v>
      </c>
    </row>
    <row r="53" spans="1:12" ht="19.95" customHeight="1">
      <c r="A53" s="426"/>
      <c r="B53" s="426"/>
      <c r="C53" s="427"/>
      <c r="D53" s="28" t="s">
        <v>502</v>
      </c>
      <c r="E53" s="177" t="s">
        <v>532</v>
      </c>
      <c r="H53" s="403"/>
      <c r="I53" s="403"/>
      <c r="J53" s="386"/>
      <c r="K53" s="28" t="s">
        <v>502</v>
      </c>
      <c r="L53" s="143" t="s">
        <v>532</v>
      </c>
    </row>
    <row r="54" spans="1:12" ht="19.95" customHeight="1">
      <c r="A54" s="426"/>
      <c r="B54" s="426"/>
      <c r="C54" s="427"/>
      <c r="D54" s="28" t="s">
        <v>504</v>
      </c>
      <c r="E54" s="177" t="s">
        <v>533</v>
      </c>
      <c r="H54" s="403"/>
      <c r="I54" s="403"/>
      <c r="J54" s="386"/>
      <c r="K54" s="28" t="s">
        <v>504</v>
      </c>
      <c r="L54" s="143" t="s">
        <v>533</v>
      </c>
    </row>
    <row r="55" spans="1:12" ht="19.95" customHeight="1">
      <c r="A55" s="426"/>
      <c r="B55" s="426"/>
      <c r="C55" s="427"/>
      <c r="D55" s="28" t="s">
        <v>506</v>
      </c>
      <c r="E55" s="177" t="s">
        <v>534</v>
      </c>
      <c r="H55" s="403"/>
      <c r="I55" s="403"/>
      <c r="J55" s="386"/>
      <c r="K55" s="28" t="s">
        <v>506</v>
      </c>
      <c r="L55" s="143" t="s">
        <v>534</v>
      </c>
    </row>
    <row r="56" spans="1:12">
      <c r="A56" s="426"/>
      <c r="B56" s="426"/>
      <c r="C56" s="427"/>
      <c r="D56" s="28" t="s">
        <v>509</v>
      </c>
      <c r="E56" s="177" t="s">
        <v>535</v>
      </c>
      <c r="H56" s="403"/>
      <c r="I56" s="403"/>
      <c r="J56" s="386"/>
      <c r="K56" s="28" t="s">
        <v>509</v>
      </c>
      <c r="L56" s="143" t="s">
        <v>535</v>
      </c>
    </row>
    <row r="57" spans="1:12" ht="19.95" customHeight="1">
      <c r="A57" s="426"/>
      <c r="B57" s="426"/>
      <c r="C57" s="427"/>
      <c r="D57" s="28" t="s">
        <v>511</v>
      </c>
      <c r="E57" s="177" t="s">
        <v>536</v>
      </c>
      <c r="H57" s="403"/>
      <c r="I57" s="403"/>
      <c r="J57" s="386"/>
      <c r="K57" s="28" t="s">
        <v>511</v>
      </c>
      <c r="L57" s="143" t="s">
        <v>536</v>
      </c>
    </row>
    <row r="58" spans="1:12" ht="19.95" customHeight="1">
      <c r="A58" s="426"/>
      <c r="B58" s="426"/>
      <c r="C58" s="427"/>
      <c r="D58" s="28" t="s">
        <v>513</v>
      </c>
      <c r="E58" s="177" t="s">
        <v>537</v>
      </c>
      <c r="H58" s="403"/>
      <c r="I58" s="403"/>
      <c r="J58" s="386"/>
      <c r="K58" s="28" t="s">
        <v>513</v>
      </c>
      <c r="L58" s="143" t="s">
        <v>537</v>
      </c>
    </row>
    <row r="59" spans="1:12" ht="19.95" customHeight="1">
      <c r="A59" s="426"/>
      <c r="B59" s="426"/>
      <c r="C59" s="427"/>
      <c r="D59" s="28" t="s">
        <v>516</v>
      </c>
      <c r="E59" s="177" t="s">
        <v>538</v>
      </c>
      <c r="H59" s="403"/>
      <c r="I59" s="403"/>
      <c r="J59" s="386"/>
      <c r="K59" s="28" t="s">
        <v>516</v>
      </c>
      <c r="L59" s="129" t="s">
        <v>538</v>
      </c>
    </row>
    <row r="60" spans="1:12" ht="19.95" customHeight="1">
      <c r="A60" s="426">
        <v>3</v>
      </c>
      <c r="B60" s="426">
        <v>3</v>
      </c>
      <c r="C60" s="427" t="s">
        <v>498</v>
      </c>
      <c r="D60" s="28" t="s">
        <v>499</v>
      </c>
      <c r="E60" s="177" t="s">
        <v>539</v>
      </c>
      <c r="H60" s="403">
        <v>3</v>
      </c>
      <c r="I60" s="403">
        <v>3</v>
      </c>
      <c r="J60" s="386" t="s">
        <v>498</v>
      </c>
      <c r="K60" s="28" t="s">
        <v>499</v>
      </c>
      <c r="L60" s="129" t="s">
        <v>540</v>
      </c>
    </row>
    <row r="61" spans="1:12" ht="19.95" customHeight="1">
      <c r="A61" s="426"/>
      <c r="B61" s="426"/>
      <c r="C61" s="427"/>
      <c r="D61" s="28" t="s">
        <v>502</v>
      </c>
      <c r="E61" s="177" t="s">
        <v>541</v>
      </c>
      <c r="H61" s="403"/>
      <c r="I61" s="403"/>
      <c r="J61" s="386"/>
      <c r="K61" s="28" t="s">
        <v>502</v>
      </c>
      <c r="L61" s="129" t="s">
        <v>542</v>
      </c>
    </row>
    <row r="62" spans="1:12" ht="19.95" customHeight="1">
      <c r="A62" s="426"/>
      <c r="B62" s="426"/>
      <c r="C62" s="427"/>
      <c r="D62" s="28" t="s">
        <v>504</v>
      </c>
      <c r="E62" s="177" t="s">
        <v>543</v>
      </c>
      <c r="H62" s="403"/>
      <c r="I62" s="403"/>
      <c r="J62" s="386"/>
      <c r="K62" s="28" t="s">
        <v>504</v>
      </c>
      <c r="L62" s="129" t="s">
        <v>544</v>
      </c>
    </row>
    <row r="63" spans="1:12" ht="19.95" customHeight="1">
      <c r="A63" s="426"/>
      <c r="B63" s="426"/>
      <c r="C63" s="427"/>
      <c r="D63" s="28" t="s">
        <v>506</v>
      </c>
      <c r="E63" s="177" t="s">
        <v>545</v>
      </c>
      <c r="H63" s="403"/>
      <c r="I63" s="403"/>
      <c r="J63" s="386"/>
      <c r="K63" s="28" t="s">
        <v>506</v>
      </c>
      <c r="L63" s="143" t="s">
        <v>546</v>
      </c>
    </row>
    <row r="64" spans="1:12">
      <c r="A64" s="426"/>
      <c r="B64" s="426"/>
      <c r="C64" s="427"/>
      <c r="D64" s="28" t="s">
        <v>509</v>
      </c>
      <c r="E64" s="177" t="s">
        <v>547</v>
      </c>
      <c r="H64" s="403"/>
      <c r="I64" s="403"/>
      <c r="J64" s="386"/>
      <c r="K64" s="28" t="s">
        <v>509</v>
      </c>
      <c r="L64" s="143" t="s">
        <v>547</v>
      </c>
    </row>
    <row r="65" spans="1:12" ht="19.95" customHeight="1">
      <c r="A65" s="426"/>
      <c r="B65" s="426"/>
      <c r="C65" s="427"/>
      <c r="D65" s="28" t="s">
        <v>511</v>
      </c>
      <c r="E65" s="177" t="s">
        <v>548</v>
      </c>
      <c r="H65" s="403"/>
      <c r="I65" s="403"/>
      <c r="J65" s="386"/>
      <c r="K65" s="28" t="s">
        <v>511</v>
      </c>
      <c r="L65" s="143" t="s">
        <v>548</v>
      </c>
    </row>
    <row r="66" spans="1:12" ht="19.95" customHeight="1">
      <c r="A66" s="426"/>
      <c r="B66" s="426"/>
      <c r="C66" s="427"/>
      <c r="D66" s="28" t="s">
        <v>513</v>
      </c>
      <c r="E66" s="177" t="s">
        <v>549</v>
      </c>
      <c r="H66" s="403"/>
      <c r="I66" s="403"/>
      <c r="J66" s="386"/>
      <c r="K66" s="28" t="s">
        <v>513</v>
      </c>
      <c r="L66" s="143" t="s">
        <v>904</v>
      </c>
    </row>
    <row r="67" spans="1:12" ht="19.95" customHeight="1">
      <c r="A67" s="426"/>
      <c r="B67" s="426"/>
      <c r="C67" s="427"/>
      <c r="D67" s="28" t="s">
        <v>516</v>
      </c>
      <c r="E67" s="177" t="s">
        <v>551</v>
      </c>
      <c r="H67" s="403"/>
      <c r="I67" s="403"/>
      <c r="J67" s="386"/>
      <c r="K67" s="28" t="s">
        <v>516</v>
      </c>
      <c r="L67" s="131" t="s">
        <v>552</v>
      </c>
    </row>
    <row r="68" spans="1:12" ht="19.95" customHeight="1">
      <c r="A68" s="426">
        <v>4</v>
      </c>
      <c r="B68" s="426">
        <v>4</v>
      </c>
      <c r="C68" s="427" t="s">
        <v>498</v>
      </c>
      <c r="D68" s="28" t="s">
        <v>499</v>
      </c>
      <c r="E68" s="177" t="s">
        <v>553</v>
      </c>
      <c r="H68" s="403">
        <v>4</v>
      </c>
      <c r="I68" s="403">
        <v>4</v>
      </c>
      <c r="J68" s="386" t="s">
        <v>498</v>
      </c>
      <c r="K68" s="28" t="s">
        <v>499</v>
      </c>
      <c r="L68" s="131" t="s">
        <v>554</v>
      </c>
    </row>
    <row r="69" spans="1:12" ht="19.95" customHeight="1">
      <c r="A69" s="426"/>
      <c r="B69" s="426"/>
      <c r="C69" s="427"/>
      <c r="D69" s="28" t="s">
        <v>502</v>
      </c>
      <c r="E69" s="177" t="s">
        <v>555</v>
      </c>
      <c r="H69" s="403"/>
      <c r="I69" s="403"/>
      <c r="J69" s="386"/>
      <c r="K69" s="28" t="s">
        <v>502</v>
      </c>
      <c r="L69" s="268" t="s">
        <v>902</v>
      </c>
    </row>
    <row r="70" spans="1:12" ht="19.95" customHeight="1">
      <c r="A70" s="426"/>
      <c r="B70" s="426"/>
      <c r="C70" s="427"/>
      <c r="D70" s="28" t="s">
        <v>504</v>
      </c>
      <c r="E70" s="177" t="s">
        <v>556</v>
      </c>
      <c r="H70" s="403"/>
      <c r="I70" s="403"/>
      <c r="J70" s="386"/>
      <c r="K70" s="28" t="s">
        <v>504</v>
      </c>
      <c r="L70" s="131"/>
    </row>
    <row r="71" spans="1:12" ht="19.95" customHeight="1">
      <c r="A71" s="426"/>
      <c r="B71" s="426"/>
      <c r="C71" s="427"/>
      <c r="D71" s="28" t="s">
        <v>506</v>
      </c>
      <c r="E71" s="177" t="s">
        <v>557</v>
      </c>
      <c r="H71" s="403"/>
      <c r="I71" s="403"/>
      <c r="J71" s="386"/>
      <c r="K71" s="28" t="s">
        <v>506</v>
      </c>
      <c r="L71" s="131"/>
    </row>
    <row r="72" spans="1:12">
      <c r="A72" s="426"/>
      <c r="B72" s="426"/>
      <c r="C72" s="427"/>
      <c r="D72" s="28" t="s">
        <v>509</v>
      </c>
      <c r="E72" s="177" t="s">
        <v>558</v>
      </c>
      <c r="H72" s="403"/>
      <c r="I72" s="403"/>
      <c r="J72" s="386"/>
      <c r="K72" s="28" t="s">
        <v>509</v>
      </c>
      <c r="L72" s="131"/>
    </row>
    <row r="73" spans="1:12">
      <c r="A73" s="426"/>
      <c r="B73" s="426"/>
      <c r="C73" s="427"/>
      <c r="D73" s="28" t="s">
        <v>511</v>
      </c>
      <c r="E73" s="177" t="s">
        <v>550</v>
      </c>
      <c r="H73" s="403"/>
      <c r="I73" s="403"/>
      <c r="J73" s="386"/>
      <c r="K73" s="28" t="s">
        <v>511</v>
      </c>
      <c r="L73" s="131"/>
    </row>
    <row r="74" spans="1:12" ht="19.95" customHeight="1">
      <c r="A74" s="426"/>
      <c r="B74" s="426"/>
      <c r="C74" s="427"/>
      <c r="D74" s="28" t="s">
        <v>513</v>
      </c>
      <c r="E74" s="177" t="s">
        <v>552</v>
      </c>
      <c r="H74" s="403"/>
      <c r="I74" s="403"/>
      <c r="J74" s="386"/>
      <c r="K74" s="28" t="s">
        <v>513</v>
      </c>
      <c r="L74" s="132"/>
    </row>
    <row r="75" spans="1:12" ht="19.95" customHeight="1">
      <c r="A75" s="426"/>
      <c r="B75" s="426"/>
      <c r="C75" s="427"/>
      <c r="D75" s="28" t="s">
        <v>516</v>
      </c>
      <c r="E75" s="177" t="s">
        <v>554</v>
      </c>
      <c r="H75" s="403"/>
      <c r="I75" s="403"/>
      <c r="J75" s="386"/>
      <c r="K75" s="28" t="s">
        <v>516</v>
      </c>
      <c r="L75" s="132"/>
    </row>
    <row r="76" spans="1:12" ht="19.95" customHeight="1" thickBot="1">
      <c r="A76" s="178" t="s">
        <v>559</v>
      </c>
      <c r="B76" s="178" t="s">
        <v>559</v>
      </c>
      <c r="C76" s="179" t="s">
        <v>632</v>
      </c>
      <c r="D76" s="180"/>
      <c r="E76" s="179"/>
      <c r="H76" s="133" t="s">
        <v>559</v>
      </c>
      <c r="I76" s="133" t="s">
        <v>559</v>
      </c>
      <c r="J76" s="134" t="s">
        <v>560</v>
      </c>
      <c r="K76" s="135"/>
      <c r="L76" s="129"/>
    </row>
    <row r="77" spans="1:12" ht="19.95" customHeight="1">
      <c r="A77" s="426">
        <v>8</v>
      </c>
      <c r="B77" s="426">
        <v>8</v>
      </c>
      <c r="C77" s="428" t="s">
        <v>561</v>
      </c>
      <c r="D77" s="136">
        <v>0</v>
      </c>
      <c r="E77" s="181" t="s">
        <v>562</v>
      </c>
      <c r="H77" s="403">
        <v>8</v>
      </c>
      <c r="I77" s="404">
        <v>8</v>
      </c>
      <c r="J77" s="407" t="s">
        <v>561</v>
      </c>
      <c r="K77" s="136">
        <v>0</v>
      </c>
      <c r="L77" s="137" t="s">
        <v>562</v>
      </c>
    </row>
    <row r="78" spans="1:12" ht="19.95" customHeight="1">
      <c r="A78" s="426"/>
      <c r="B78" s="426"/>
      <c r="C78" s="428"/>
      <c r="D78" s="138">
        <v>1</v>
      </c>
      <c r="E78" s="181" t="s">
        <v>563</v>
      </c>
      <c r="H78" s="403"/>
      <c r="I78" s="405"/>
      <c r="J78" s="407"/>
      <c r="K78" s="138">
        <v>1</v>
      </c>
      <c r="L78" s="137" t="s">
        <v>563</v>
      </c>
    </row>
    <row r="79" spans="1:12" ht="19.95" customHeight="1">
      <c r="A79" s="426"/>
      <c r="B79" s="426"/>
      <c r="C79" s="428"/>
      <c r="D79" s="138">
        <v>2</v>
      </c>
      <c r="E79" s="181" t="s">
        <v>564</v>
      </c>
      <c r="H79" s="403"/>
      <c r="I79" s="405"/>
      <c r="J79" s="407"/>
      <c r="K79" s="138">
        <v>2</v>
      </c>
      <c r="L79" s="137" t="s">
        <v>564</v>
      </c>
    </row>
    <row r="80" spans="1:12">
      <c r="A80" s="426"/>
      <c r="B80" s="426"/>
      <c r="C80" s="428"/>
      <c r="D80" s="138">
        <v>3</v>
      </c>
      <c r="E80" s="181" t="s">
        <v>565</v>
      </c>
      <c r="H80" s="403"/>
      <c r="I80" s="405"/>
      <c r="J80" s="407"/>
      <c r="K80" s="138">
        <v>3</v>
      </c>
      <c r="L80" s="137" t="s">
        <v>565</v>
      </c>
    </row>
    <row r="81" spans="1:12" ht="19.95" customHeight="1">
      <c r="A81" s="426"/>
      <c r="B81" s="426"/>
      <c r="C81" s="428"/>
      <c r="D81" s="138">
        <v>4</v>
      </c>
      <c r="E81" s="181" t="s">
        <v>566</v>
      </c>
      <c r="H81" s="403"/>
      <c r="I81" s="405"/>
      <c r="J81" s="407"/>
      <c r="K81" s="138">
        <v>4</v>
      </c>
      <c r="L81" s="137" t="s">
        <v>566</v>
      </c>
    </row>
    <row r="82" spans="1:12" ht="19.95" customHeight="1">
      <c r="A82" s="426"/>
      <c r="B82" s="426"/>
      <c r="C82" s="428"/>
      <c r="D82" s="138">
        <v>5</v>
      </c>
      <c r="E82" s="181" t="s">
        <v>567</v>
      </c>
      <c r="H82" s="403"/>
      <c r="I82" s="405"/>
      <c r="J82" s="407"/>
      <c r="K82" s="138">
        <v>5</v>
      </c>
      <c r="L82" s="137" t="s">
        <v>567</v>
      </c>
    </row>
    <row r="83" spans="1:12" ht="19.95" customHeight="1">
      <c r="A83" s="426"/>
      <c r="B83" s="426"/>
      <c r="C83" s="428"/>
      <c r="D83" s="138">
        <v>6</v>
      </c>
      <c r="E83" s="181" t="s">
        <v>568</v>
      </c>
      <c r="H83" s="403"/>
      <c r="I83" s="406"/>
      <c r="J83" s="407"/>
      <c r="K83" s="138">
        <v>6</v>
      </c>
      <c r="L83" s="137" t="s">
        <v>568</v>
      </c>
    </row>
    <row r="84" spans="1:12" ht="19.95" customHeight="1">
      <c r="A84" s="426">
        <v>9</v>
      </c>
      <c r="B84" s="426">
        <v>9</v>
      </c>
      <c r="C84" s="428" t="s">
        <v>569</v>
      </c>
      <c r="D84" s="138">
        <v>0</v>
      </c>
      <c r="E84" s="181" t="s">
        <v>570</v>
      </c>
      <c r="H84" s="403">
        <v>9</v>
      </c>
      <c r="I84" s="404">
        <v>9</v>
      </c>
      <c r="J84" s="407" t="s">
        <v>569</v>
      </c>
      <c r="K84" s="138">
        <v>0</v>
      </c>
      <c r="L84" s="137" t="s">
        <v>570</v>
      </c>
    </row>
    <row r="85" spans="1:12" ht="19.95" customHeight="1">
      <c r="A85" s="426"/>
      <c r="B85" s="426"/>
      <c r="C85" s="428"/>
      <c r="D85" s="138">
        <v>1</v>
      </c>
      <c r="E85" s="181" t="s">
        <v>571</v>
      </c>
      <c r="H85" s="403"/>
      <c r="I85" s="405"/>
      <c r="J85" s="407"/>
      <c r="K85" s="138">
        <v>1</v>
      </c>
      <c r="L85" s="137" t="s">
        <v>571</v>
      </c>
    </row>
    <row r="86" spans="1:12">
      <c r="A86" s="426"/>
      <c r="B86" s="426"/>
      <c r="C86" s="428"/>
      <c r="D86" s="138">
        <v>2</v>
      </c>
      <c r="E86" s="181" t="s">
        <v>572</v>
      </c>
      <c r="H86" s="403"/>
      <c r="I86" s="405"/>
      <c r="J86" s="407"/>
      <c r="K86" s="138">
        <v>2</v>
      </c>
      <c r="L86" s="137" t="s">
        <v>572</v>
      </c>
    </row>
    <row r="87" spans="1:12">
      <c r="A87" s="426"/>
      <c r="B87" s="426"/>
      <c r="C87" s="428"/>
      <c r="D87" s="138">
        <v>3</v>
      </c>
      <c r="E87" s="181" t="s">
        <v>573</v>
      </c>
      <c r="H87" s="403"/>
      <c r="I87" s="405"/>
      <c r="J87" s="407"/>
      <c r="K87" s="138">
        <v>3</v>
      </c>
      <c r="L87" s="137" t="s">
        <v>573</v>
      </c>
    </row>
    <row r="88" spans="1:12">
      <c r="A88" s="426"/>
      <c r="B88" s="426"/>
      <c r="C88" s="428"/>
      <c r="D88" s="138">
        <v>4</v>
      </c>
      <c r="E88" s="181" t="s">
        <v>574</v>
      </c>
      <c r="H88" s="403"/>
      <c r="I88" s="405"/>
      <c r="J88" s="407"/>
      <c r="K88" s="138">
        <v>4</v>
      </c>
      <c r="L88" s="137" t="s">
        <v>574</v>
      </c>
    </row>
    <row r="89" spans="1:12" ht="14.4" thickBot="1">
      <c r="A89" s="426"/>
      <c r="B89" s="426"/>
      <c r="C89" s="428"/>
      <c r="D89" s="139">
        <v>5</v>
      </c>
      <c r="E89" s="181" t="s">
        <v>575</v>
      </c>
      <c r="H89" s="403"/>
      <c r="I89" s="406"/>
      <c r="J89" s="407"/>
      <c r="K89" s="139">
        <v>5</v>
      </c>
      <c r="L89" s="137" t="s">
        <v>575</v>
      </c>
    </row>
    <row r="90" spans="1:12">
      <c r="D90" s="4" t="s">
        <v>576</v>
      </c>
      <c r="J90" s="4"/>
      <c r="K90" s="4" t="s">
        <v>576</v>
      </c>
    </row>
    <row r="92" spans="1:12">
      <c r="A92" s="429" t="s">
        <v>697</v>
      </c>
      <c r="B92" s="429"/>
      <c r="C92" s="430"/>
      <c r="D92" s="430"/>
      <c r="E92" s="430"/>
      <c r="H92" s="431" t="s">
        <v>698</v>
      </c>
      <c r="I92" s="431"/>
      <c r="J92" s="432"/>
      <c r="K92" s="432"/>
      <c r="L92" s="432"/>
    </row>
    <row r="93" spans="1:12">
      <c r="A93" s="148" t="s">
        <v>74</v>
      </c>
      <c r="B93" s="148" t="s">
        <v>75</v>
      </c>
      <c r="C93" s="167" t="s">
        <v>232</v>
      </c>
      <c r="D93" s="150" t="s">
        <v>78</v>
      </c>
      <c r="E93" s="98" t="s">
        <v>420</v>
      </c>
      <c r="H93" s="40" t="s">
        <v>74</v>
      </c>
      <c r="I93" s="40" t="s">
        <v>75</v>
      </c>
      <c r="J93" s="120" t="s">
        <v>232</v>
      </c>
      <c r="K93" s="98" t="s">
        <v>78</v>
      </c>
      <c r="L93" s="98" t="s">
        <v>420</v>
      </c>
    </row>
    <row r="94" spans="1:12">
      <c r="A94" s="168" t="str">
        <f>DEC2HEX(B94)</f>
        <v>0</v>
      </c>
      <c r="B94" s="168">
        <v>0</v>
      </c>
      <c r="C94" s="149" t="s">
        <v>578</v>
      </c>
      <c r="D94" s="182" t="s">
        <v>82</v>
      </c>
      <c r="E94" s="177" t="s">
        <v>579</v>
      </c>
      <c r="H94" s="121" t="str">
        <f>DEC2HEX(I94)</f>
        <v>0</v>
      </c>
      <c r="I94" s="121">
        <v>0</v>
      </c>
      <c r="J94" s="97" t="s">
        <v>580</v>
      </c>
      <c r="K94" s="140" t="s">
        <v>82</v>
      </c>
      <c r="L94" s="254" t="s">
        <v>894</v>
      </c>
    </row>
    <row r="95" spans="1:12">
      <c r="A95" s="168" t="str">
        <f t="shared" ref="A95:A100" si="4">DEC2HEX(B95)</f>
        <v>4</v>
      </c>
      <c r="B95" s="168">
        <v>4</v>
      </c>
      <c r="C95" s="167" t="s">
        <v>581</v>
      </c>
      <c r="D95" s="182" t="s">
        <v>82</v>
      </c>
      <c r="E95" s="177" t="s">
        <v>582</v>
      </c>
      <c r="H95" s="121" t="str">
        <f t="shared" ref="H95:H102" si="5">DEC2HEX(I95)</f>
        <v>4</v>
      </c>
      <c r="I95" s="121">
        <v>4</v>
      </c>
      <c r="J95" s="120" t="s">
        <v>581</v>
      </c>
      <c r="K95" s="140" t="s">
        <v>82</v>
      </c>
      <c r="L95" s="255" t="s">
        <v>895</v>
      </c>
    </row>
    <row r="96" spans="1:12">
      <c r="A96" s="168" t="str">
        <f t="shared" si="4"/>
        <v>8</v>
      </c>
      <c r="B96" s="168">
        <v>8</v>
      </c>
      <c r="C96" s="167" t="s">
        <v>583</v>
      </c>
      <c r="D96" s="182" t="s">
        <v>82</v>
      </c>
      <c r="E96" s="177" t="s">
        <v>584</v>
      </c>
      <c r="H96" s="121" t="str">
        <f t="shared" si="5"/>
        <v>8</v>
      </c>
      <c r="I96" s="121">
        <v>8</v>
      </c>
      <c r="J96" s="120" t="s">
        <v>583</v>
      </c>
      <c r="K96" s="140" t="s">
        <v>82</v>
      </c>
      <c r="L96" s="255" t="s">
        <v>896</v>
      </c>
    </row>
    <row r="97" spans="1:12">
      <c r="A97" s="168" t="str">
        <f t="shared" si="4"/>
        <v>C</v>
      </c>
      <c r="B97" s="168">
        <v>12</v>
      </c>
      <c r="C97" s="149" t="s">
        <v>585</v>
      </c>
      <c r="D97" s="182" t="s">
        <v>82</v>
      </c>
      <c r="E97" s="177" t="s">
        <v>586</v>
      </c>
      <c r="H97" s="121" t="str">
        <f t="shared" si="5"/>
        <v>C</v>
      </c>
      <c r="I97" s="121">
        <v>12</v>
      </c>
      <c r="J97" s="97" t="s">
        <v>585</v>
      </c>
      <c r="K97" s="140" t="s">
        <v>82</v>
      </c>
      <c r="L97" s="255" t="s">
        <v>895</v>
      </c>
    </row>
    <row r="98" spans="1:12">
      <c r="A98" s="168" t="str">
        <f t="shared" si="4"/>
        <v>18</v>
      </c>
      <c r="B98" s="168">
        <v>24</v>
      </c>
      <c r="C98" s="149" t="s">
        <v>587</v>
      </c>
      <c r="D98" s="182" t="s">
        <v>82</v>
      </c>
      <c r="E98" s="177" t="s">
        <v>588</v>
      </c>
      <c r="H98" s="121" t="str">
        <f t="shared" si="5"/>
        <v>10</v>
      </c>
      <c r="I98" s="121">
        <v>16</v>
      </c>
      <c r="J98" s="235" t="s">
        <v>589</v>
      </c>
      <c r="K98" s="236" t="s">
        <v>82</v>
      </c>
      <c r="L98" s="256" t="s">
        <v>897</v>
      </c>
    </row>
    <row r="99" spans="1:12">
      <c r="A99" s="168" t="str">
        <f t="shared" si="4"/>
        <v>1C</v>
      </c>
      <c r="B99" s="168">
        <v>28</v>
      </c>
      <c r="C99" s="149" t="s">
        <v>590</v>
      </c>
      <c r="D99" s="182" t="s">
        <v>82</v>
      </c>
      <c r="E99" s="177" t="s">
        <v>591</v>
      </c>
      <c r="H99" s="121" t="str">
        <f t="shared" si="5"/>
        <v>14</v>
      </c>
      <c r="I99" s="121">
        <v>20</v>
      </c>
      <c r="J99" s="235" t="s">
        <v>592</v>
      </c>
      <c r="K99" s="236" t="s">
        <v>82</v>
      </c>
      <c r="L99" s="256" t="s">
        <v>895</v>
      </c>
    </row>
    <row r="100" spans="1:12">
      <c r="A100" s="168" t="str">
        <f t="shared" si="4"/>
        <v>20</v>
      </c>
      <c r="B100" s="168">
        <v>32</v>
      </c>
      <c r="C100" s="149" t="s">
        <v>593</v>
      </c>
      <c r="D100" s="182" t="s">
        <v>82</v>
      </c>
      <c r="E100" s="177" t="s">
        <v>594</v>
      </c>
      <c r="H100" s="121" t="str">
        <f t="shared" si="5"/>
        <v>18</v>
      </c>
      <c r="I100" s="121">
        <v>24</v>
      </c>
      <c r="J100" s="97" t="s">
        <v>587</v>
      </c>
      <c r="K100" s="140" t="s">
        <v>82</v>
      </c>
      <c r="L100" s="257" t="s">
        <v>898</v>
      </c>
    </row>
    <row r="101" spans="1:12">
      <c r="A101" s="170"/>
      <c r="B101" s="170"/>
      <c r="C101" s="183"/>
      <c r="D101" s="184"/>
      <c r="E101" s="185"/>
      <c r="H101" s="121" t="str">
        <f t="shared" si="5"/>
        <v>1C</v>
      </c>
      <c r="I101" s="121">
        <v>28</v>
      </c>
      <c r="J101" s="97" t="s">
        <v>590</v>
      </c>
      <c r="K101" s="140" t="s">
        <v>82</v>
      </c>
      <c r="L101" s="254" t="s">
        <v>899</v>
      </c>
    </row>
    <row r="102" spans="1:12">
      <c r="A102" s="170"/>
      <c r="B102" s="170"/>
      <c r="C102" s="183"/>
      <c r="D102" s="184"/>
      <c r="E102" s="185"/>
      <c r="H102" s="121" t="str">
        <f t="shared" si="5"/>
        <v>20</v>
      </c>
      <c r="I102" s="121">
        <v>32</v>
      </c>
      <c r="J102" s="97" t="s">
        <v>593</v>
      </c>
      <c r="K102" s="140" t="s">
        <v>82</v>
      </c>
      <c r="L102" s="255" t="s">
        <v>900</v>
      </c>
    </row>
    <row r="104" spans="1:12">
      <c r="A104" s="429" t="s">
        <v>633</v>
      </c>
      <c r="B104" s="429"/>
      <c r="C104" s="430"/>
      <c r="D104" s="430"/>
      <c r="E104" s="430"/>
      <c r="H104" s="433" t="s">
        <v>730</v>
      </c>
      <c r="I104" s="433"/>
      <c r="J104" s="434"/>
      <c r="K104" s="434"/>
      <c r="L104" s="434"/>
    </row>
    <row r="105" spans="1:12">
      <c r="A105" s="148" t="s">
        <v>74</v>
      </c>
      <c r="B105" s="148" t="s">
        <v>75</v>
      </c>
      <c r="C105" s="167" t="s">
        <v>232</v>
      </c>
      <c r="D105" s="150" t="s">
        <v>78</v>
      </c>
      <c r="E105" s="98" t="s">
        <v>420</v>
      </c>
      <c r="H105" s="225" t="s">
        <v>74</v>
      </c>
      <c r="I105" s="225" t="s">
        <v>75</v>
      </c>
      <c r="J105" s="226" t="s">
        <v>232</v>
      </c>
      <c r="K105" s="227" t="s">
        <v>78</v>
      </c>
      <c r="L105" s="227" t="s">
        <v>420</v>
      </c>
    </row>
    <row r="106" spans="1:12" ht="26.4">
      <c r="A106" s="168">
        <v>0</v>
      </c>
      <c r="B106" s="168">
        <v>0</v>
      </c>
      <c r="C106" s="149" t="s">
        <v>60</v>
      </c>
      <c r="D106" s="182" t="s">
        <v>447</v>
      </c>
      <c r="E106" s="177" t="s">
        <v>598</v>
      </c>
      <c r="H106" s="228">
        <v>0</v>
      </c>
      <c r="I106" s="228">
        <v>0</v>
      </c>
      <c r="J106" s="141" t="s">
        <v>58</v>
      </c>
      <c r="K106" s="142" t="s">
        <v>447</v>
      </c>
      <c r="L106" s="143" t="s">
        <v>598</v>
      </c>
    </row>
    <row r="107" spans="1:12">
      <c r="A107" s="168">
        <v>1</v>
      </c>
      <c r="B107" s="168">
        <v>1</v>
      </c>
      <c r="C107" s="167" t="s">
        <v>600</v>
      </c>
      <c r="D107" s="182" t="s">
        <v>601</v>
      </c>
      <c r="E107" s="177"/>
      <c r="H107" s="228">
        <v>1</v>
      </c>
      <c r="I107" s="228">
        <v>1</v>
      </c>
      <c r="J107" s="226" t="s">
        <v>600</v>
      </c>
      <c r="K107" s="142" t="s">
        <v>601</v>
      </c>
      <c r="L107" s="143"/>
    </row>
    <row r="108" spans="1:12">
      <c r="J108" s="4"/>
    </row>
    <row r="109" spans="1:12">
      <c r="J109" s="4"/>
    </row>
    <row r="110" spans="1:12">
      <c r="A110" s="429" t="s">
        <v>699</v>
      </c>
      <c r="B110" s="429"/>
      <c r="C110" s="430"/>
      <c r="D110" s="430"/>
      <c r="E110" s="430"/>
      <c r="H110" s="410" t="s">
        <v>700</v>
      </c>
      <c r="I110" s="410"/>
      <c r="J110" s="411"/>
      <c r="K110" s="411"/>
      <c r="L110" s="411"/>
    </row>
    <row r="111" spans="1:12">
      <c r="A111" s="148" t="s">
        <v>74</v>
      </c>
      <c r="B111" s="148" t="s">
        <v>75</v>
      </c>
      <c r="C111" s="167" t="s">
        <v>232</v>
      </c>
      <c r="D111" s="150" t="s">
        <v>78</v>
      </c>
      <c r="E111" s="98" t="s">
        <v>420</v>
      </c>
      <c r="H111" s="40" t="s">
        <v>74</v>
      </c>
      <c r="I111" s="40" t="s">
        <v>75</v>
      </c>
      <c r="J111" s="120" t="s">
        <v>232</v>
      </c>
      <c r="K111" s="98" t="s">
        <v>78</v>
      </c>
      <c r="L111" s="98" t="s">
        <v>420</v>
      </c>
    </row>
    <row r="112" spans="1:12">
      <c r="A112" s="168" t="str">
        <f>DEC2HEX(B112)</f>
        <v>0</v>
      </c>
      <c r="B112" s="168">
        <v>0</v>
      </c>
      <c r="C112" s="149" t="s">
        <v>603</v>
      </c>
      <c r="D112" s="182" t="s">
        <v>82</v>
      </c>
      <c r="E112" s="177"/>
      <c r="H112" s="121" t="str">
        <f>DEC2HEX(I112)</f>
        <v>0</v>
      </c>
      <c r="I112" s="121">
        <v>0</v>
      </c>
      <c r="J112" s="97" t="s">
        <v>603</v>
      </c>
      <c r="K112" s="140" t="s">
        <v>82</v>
      </c>
      <c r="L112" s="129"/>
    </row>
    <row r="113" spans="1:12">
      <c r="A113" s="168" t="str">
        <f t="shared" ref="A113:A115" si="6">DEC2HEX(B113)</f>
        <v>4</v>
      </c>
      <c r="B113" s="168">
        <v>4</v>
      </c>
      <c r="C113" s="167" t="s">
        <v>604</v>
      </c>
      <c r="D113" s="182" t="s">
        <v>82</v>
      </c>
      <c r="E113" s="177"/>
      <c r="H113" s="121" t="str">
        <f t="shared" ref="H113:H115" si="7">DEC2HEX(I113)</f>
        <v>4</v>
      </c>
      <c r="I113" s="121">
        <v>4</v>
      </c>
      <c r="J113" s="120" t="s">
        <v>604</v>
      </c>
      <c r="K113" s="140" t="s">
        <v>82</v>
      </c>
      <c r="L113" s="129"/>
    </row>
    <row r="114" spans="1:12">
      <c r="A114" s="168" t="str">
        <f t="shared" si="6"/>
        <v>8</v>
      </c>
      <c r="B114" s="168">
        <v>8</v>
      </c>
      <c r="C114" s="167" t="s">
        <v>605</v>
      </c>
      <c r="D114" s="182" t="s">
        <v>82</v>
      </c>
      <c r="E114" s="177"/>
      <c r="H114" s="121" t="str">
        <f t="shared" si="7"/>
        <v>8</v>
      </c>
      <c r="I114" s="121">
        <v>8</v>
      </c>
      <c r="J114" s="120" t="s">
        <v>605</v>
      </c>
      <c r="K114" s="140" t="s">
        <v>82</v>
      </c>
      <c r="L114" s="129"/>
    </row>
    <row r="115" spans="1:12" ht="26.4">
      <c r="A115" s="168" t="str">
        <f t="shared" si="6"/>
        <v>C</v>
      </c>
      <c r="B115" s="168">
        <v>12</v>
      </c>
      <c r="C115" s="149" t="s">
        <v>606</v>
      </c>
      <c r="D115" s="182" t="s">
        <v>601</v>
      </c>
      <c r="E115" s="186" t="s">
        <v>634</v>
      </c>
      <c r="H115" s="121" t="str">
        <f t="shared" si="7"/>
        <v>C</v>
      </c>
      <c r="I115" s="121">
        <v>12</v>
      </c>
      <c r="J115" s="97" t="s">
        <v>606</v>
      </c>
      <c r="K115" s="140" t="s">
        <v>601</v>
      </c>
      <c r="L115" s="147" t="s">
        <v>608</v>
      </c>
    </row>
  </sheetData>
  <mergeCells count="54">
    <mergeCell ref="A92:E92"/>
    <mergeCell ref="H92:L92"/>
    <mergeCell ref="A104:E104"/>
    <mergeCell ref="H104:L104"/>
    <mergeCell ref="A110:E110"/>
    <mergeCell ref="H110:L110"/>
    <mergeCell ref="J84:J89"/>
    <mergeCell ref="A77:A83"/>
    <mergeCell ref="B77:B83"/>
    <mergeCell ref="C77:C83"/>
    <mergeCell ref="H77:H83"/>
    <mergeCell ref="I77:I83"/>
    <mergeCell ref="J77:J83"/>
    <mergeCell ref="A84:A89"/>
    <mergeCell ref="B84:B89"/>
    <mergeCell ref="C84:C89"/>
    <mergeCell ref="H84:H89"/>
    <mergeCell ref="I84:I89"/>
    <mergeCell ref="J68:J75"/>
    <mergeCell ref="A60:A67"/>
    <mergeCell ref="B60:B67"/>
    <mergeCell ref="C60:C67"/>
    <mergeCell ref="H60:H67"/>
    <mergeCell ref="I60:I67"/>
    <mergeCell ref="J60:J67"/>
    <mergeCell ref="A68:A75"/>
    <mergeCell ref="B68:B75"/>
    <mergeCell ref="C68:C75"/>
    <mergeCell ref="H68:H75"/>
    <mergeCell ref="I68:I75"/>
    <mergeCell ref="J52:J59"/>
    <mergeCell ref="A44:A51"/>
    <mergeCell ref="B44:B51"/>
    <mergeCell ref="C44:C51"/>
    <mergeCell ref="H44:H51"/>
    <mergeCell ref="I44:I51"/>
    <mergeCell ref="J44:J51"/>
    <mergeCell ref="A52:A59"/>
    <mergeCell ref="B52:B59"/>
    <mergeCell ref="C52:C59"/>
    <mergeCell ref="H52:H59"/>
    <mergeCell ref="I52:I59"/>
    <mergeCell ref="J36:J43"/>
    <mergeCell ref="A1:E1"/>
    <mergeCell ref="H1:L1"/>
    <mergeCell ref="A21:E21"/>
    <mergeCell ref="H21:L21"/>
    <mergeCell ref="A34:E34"/>
    <mergeCell ref="H34:L34"/>
    <mergeCell ref="A36:A43"/>
    <mergeCell ref="B36:B43"/>
    <mergeCell ref="C36:C43"/>
    <mergeCell ref="H36:H43"/>
    <mergeCell ref="I36:I43"/>
  </mergeCells>
  <phoneticPr fontId="3" type="noConversion"/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93B12-292C-4886-A3A0-26426739E53E}">
  <sheetPr>
    <tabColor rgb="FF00B050"/>
  </sheetPr>
  <dimension ref="A1:E47"/>
  <sheetViews>
    <sheetView zoomScale="85" zoomScaleNormal="85" workbookViewId="0">
      <pane ySplit="1" topLeftCell="A2" activePane="bottomLeft" state="frozen"/>
      <selection activeCell="C43" sqref="C43"/>
      <selection pane="bottomLeft" activeCell="E5" sqref="E5"/>
    </sheetView>
  </sheetViews>
  <sheetFormatPr defaultColWidth="9" defaultRowHeight="13.8"/>
  <cols>
    <col min="1" max="1" width="11" style="4" bestFit="1" customWidth="1"/>
    <col min="2" max="2" width="11.109375" style="4" bestFit="1" customWidth="1"/>
    <col min="3" max="3" width="27.21875" style="4" bestFit="1" customWidth="1"/>
    <col min="4" max="4" width="9" style="4"/>
    <col min="5" max="5" width="56.77734375" style="4" customWidth="1"/>
    <col min="6" max="16384" width="9" style="4"/>
  </cols>
  <sheetData>
    <row r="1" spans="1:5">
      <c r="A1" s="378" t="s">
        <v>869</v>
      </c>
      <c r="B1" s="379"/>
      <c r="C1" s="379"/>
      <c r="D1" s="379"/>
      <c r="E1" s="379"/>
    </row>
    <row r="2" spans="1:5">
      <c r="A2" s="148" t="s">
        <v>74</v>
      </c>
      <c r="B2" s="160" t="s">
        <v>75</v>
      </c>
      <c r="C2" s="187" t="s">
        <v>79</v>
      </c>
      <c r="D2" s="98" t="s">
        <v>78</v>
      </c>
      <c r="E2" s="98" t="s">
        <v>635</v>
      </c>
    </row>
    <row r="3" spans="1:5">
      <c r="A3" s="188" t="str">
        <f>DEC2HEX(B3)</f>
        <v>1</v>
      </c>
      <c r="B3" s="188">
        <v>1</v>
      </c>
      <c r="C3" s="189" t="s">
        <v>636</v>
      </c>
      <c r="D3" s="28" t="s">
        <v>447</v>
      </c>
      <c r="E3" s="28" t="s">
        <v>637</v>
      </c>
    </row>
    <row r="4" spans="1:5">
      <c r="A4" s="188" t="str">
        <f t="shared" ref="A4:A7" si="0">DEC2HEX(B4)</f>
        <v>2</v>
      </c>
      <c r="B4" s="188">
        <v>2</v>
      </c>
      <c r="C4" s="189" t="s">
        <v>638</v>
      </c>
      <c r="D4" s="28" t="s">
        <v>447</v>
      </c>
      <c r="E4" s="28" t="s">
        <v>637</v>
      </c>
    </row>
    <row r="5" spans="1:5">
      <c r="A5" s="188" t="str">
        <f t="shared" si="0"/>
        <v>3</v>
      </c>
      <c r="B5" s="188">
        <v>3</v>
      </c>
      <c r="C5" s="189" t="s">
        <v>639</v>
      </c>
      <c r="D5" s="28" t="s">
        <v>447</v>
      </c>
      <c r="E5" s="28" t="s">
        <v>637</v>
      </c>
    </row>
    <row r="6" spans="1:5">
      <c r="A6" s="188" t="str">
        <f t="shared" si="0"/>
        <v>4</v>
      </c>
      <c r="B6" s="188">
        <v>4</v>
      </c>
      <c r="C6" s="189" t="s">
        <v>640</v>
      </c>
      <c r="D6" s="28" t="s">
        <v>447</v>
      </c>
      <c r="E6" s="28" t="s">
        <v>641</v>
      </c>
    </row>
    <row r="7" spans="1:5">
      <c r="A7" s="188" t="str">
        <f t="shared" si="0"/>
        <v>5</v>
      </c>
      <c r="B7" s="188">
        <v>5</v>
      </c>
      <c r="C7" s="189" t="s">
        <v>642</v>
      </c>
      <c r="D7" s="28" t="s">
        <v>447</v>
      </c>
      <c r="E7" s="28" t="s">
        <v>643</v>
      </c>
    </row>
    <row r="10" spans="1:5">
      <c r="A10" s="378" t="s">
        <v>870</v>
      </c>
      <c r="B10" s="379"/>
      <c r="C10" s="379"/>
      <c r="D10" s="379"/>
      <c r="E10" s="379"/>
    </row>
    <row r="11" spans="1:5">
      <c r="A11" s="148" t="s">
        <v>74</v>
      </c>
      <c r="B11" s="160" t="s">
        <v>75</v>
      </c>
      <c r="C11" s="187" t="s">
        <v>79</v>
      </c>
      <c r="D11" s="98" t="s">
        <v>78</v>
      </c>
      <c r="E11" s="98" t="s">
        <v>635</v>
      </c>
    </row>
    <row r="12" spans="1:5">
      <c r="A12" s="188" t="str">
        <f>DEC2HEX(B12)</f>
        <v>0</v>
      </c>
      <c r="B12" s="188">
        <v>0</v>
      </c>
      <c r="C12" s="189" t="s">
        <v>644</v>
      </c>
      <c r="D12" s="28" t="s">
        <v>82</v>
      </c>
      <c r="E12" s="28"/>
    </row>
    <row r="13" spans="1:5">
      <c r="A13" s="188" t="str">
        <f t="shared" ref="A13:A20" si="1">DEC2HEX(B13)</f>
        <v>4</v>
      </c>
      <c r="B13" s="188">
        <f>B12+4</f>
        <v>4</v>
      </c>
      <c r="C13" s="189" t="s">
        <v>645</v>
      </c>
      <c r="D13" s="28" t="s">
        <v>82</v>
      </c>
      <c r="E13" s="28"/>
    </row>
    <row r="14" spans="1:5">
      <c r="A14" s="188" t="str">
        <f t="shared" si="1"/>
        <v>8</v>
      </c>
      <c r="B14" s="188">
        <f>B13+4</f>
        <v>8</v>
      </c>
      <c r="C14" s="189" t="s">
        <v>646</v>
      </c>
      <c r="D14" s="28" t="s">
        <v>82</v>
      </c>
      <c r="E14" s="28"/>
    </row>
    <row r="15" spans="1:5">
      <c r="A15" s="188" t="str">
        <f t="shared" si="1"/>
        <v>C</v>
      </c>
      <c r="B15" s="188">
        <f t="shared" ref="B15:B21" si="2">B14+4</f>
        <v>12</v>
      </c>
      <c r="C15" s="189" t="s">
        <v>647</v>
      </c>
      <c r="D15" s="28" t="s">
        <v>82</v>
      </c>
      <c r="E15" s="28"/>
    </row>
    <row r="16" spans="1:5">
      <c r="A16" s="188" t="str">
        <f t="shared" si="1"/>
        <v>10</v>
      </c>
      <c r="B16" s="188">
        <f t="shared" si="2"/>
        <v>16</v>
      </c>
      <c r="C16" s="189" t="s">
        <v>648</v>
      </c>
      <c r="D16" s="28" t="s">
        <v>82</v>
      </c>
      <c r="E16" s="28"/>
    </row>
    <row r="17" spans="1:5">
      <c r="A17" s="188" t="str">
        <f t="shared" si="1"/>
        <v>14</v>
      </c>
      <c r="B17" s="188">
        <f t="shared" si="2"/>
        <v>20</v>
      </c>
      <c r="C17" s="189" t="s">
        <v>649</v>
      </c>
      <c r="D17" s="28" t="s">
        <v>82</v>
      </c>
      <c r="E17" s="28"/>
    </row>
    <row r="18" spans="1:5">
      <c r="A18" s="188" t="str">
        <f t="shared" si="1"/>
        <v>18</v>
      </c>
      <c r="B18" s="188">
        <f t="shared" si="2"/>
        <v>24</v>
      </c>
      <c r="C18" s="189" t="s">
        <v>650</v>
      </c>
      <c r="D18" s="28" t="s">
        <v>82</v>
      </c>
      <c r="E18" s="28"/>
    </row>
    <row r="19" spans="1:5">
      <c r="A19" s="188" t="str">
        <f t="shared" si="1"/>
        <v>1C</v>
      </c>
      <c r="B19" s="188">
        <f t="shared" si="2"/>
        <v>28</v>
      </c>
      <c r="C19" s="189" t="s">
        <v>651</v>
      </c>
      <c r="D19" s="28" t="s">
        <v>82</v>
      </c>
      <c r="E19" s="28"/>
    </row>
    <row r="20" spans="1:5">
      <c r="A20" s="188" t="str">
        <f t="shared" si="1"/>
        <v>20</v>
      </c>
      <c r="B20" s="188">
        <f t="shared" si="2"/>
        <v>32</v>
      </c>
      <c r="C20" s="189" t="s">
        <v>652</v>
      </c>
      <c r="D20" s="28" t="s">
        <v>82</v>
      </c>
      <c r="E20" s="28"/>
    </row>
    <row r="21" spans="1:5">
      <c r="A21" s="190" t="str">
        <f>DEC2HEX(B21)</f>
        <v>24</v>
      </c>
      <c r="B21" s="190">
        <f t="shared" si="2"/>
        <v>36</v>
      </c>
      <c r="C21" s="191" t="s">
        <v>653</v>
      </c>
      <c r="D21" s="28" t="s">
        <v>82</v>
      </c>
      <c r="E21" s="28"/>
    </row>
    <row r="22" spans="1:5">
      <c r="A22" s="192"/>
      <c r="B22" s="193"/>
      <c r="C22" s="194"/>
      <c r="D22" s="195"/>
      <c r="E22" s="195"/>
    </row>
    <row r="23" spans="1:5">
      <c r="A23" s="192"/>
      <c r="B23" s="193"/>
      <c r="C23" s="194"/>
      <c r="D23" s="195"/>
      <c r="E23" s="195"/>
    </row>
    <row r="24" spans="1:5">
      <c r="A24" s="378" t="s">
        <v>690</v>
      </c>
      <c r="B24" s="379"/>
      <c r="C24" s="379"/>
      <c r="D24" s="379"/>
      <c r="E24" s="379"/>
    </row>
    <row r="25" spans="1:5">
      <c r="A25" s="148" t="s">
        <v>74</v>
      </c>
      <c r="B25" s="160" t="s">
        <v>75</v>
      </c>
      <c r="C25" s="187" t="s">
        <v>79</v>
      </c>
      <c r="D25" s="151" t="s">
        <v>78</v>
      </c>
      <c r="E25" s="151" t="s">
        <v>635</v>
      </c>
    </row>
    <row r="26" spans="1:5">
      <c r="A26" s="188" t="str">
        <f>DEC2HEX(B26)</f>
        <v>1</v>
      </c>
      <c r="B26" s="188">
        <v>1</v>
      </c>
      <c r="C26" s="196" t="s">
        <v>636</v>
      </c>
      <c r="D26" s="26" t="s">
        <v>447</v>
      </c>
      <c r="E26" s="26" t="s">
        <v>637</v>
      </c>
    </row>
    <row r="27" spans="1:5">
      <c r="A27" s="188" t="str">
        <f t="shared" ref="A27:A30" si="3">DEC2HEX(B27)</f>
        <v>2</v>
      </c>
      <c r="B27" s="188">
        <v>2</v>
      </c>
      <c r="C27" s="196" t="s">
        <v>638</v>
      </c>
      <c r="D27" s="26" t="s">
        <v>447</v>
      </c>
      <c r="E27" s="26" t="s">
        <v>654</v>
      </c>
    </row>
    <row r="28" spans="1:5">
      <c r="A28" s="188" t="str">
        <f t="shared" si="3"/>
        <v>3</v>
      </c>
      <c r="B28" s="188">
        <v>3</v>
      </c>
      <c r="C28" s="196" t="s">
        <v>639</v>
      </c>
      <c r="D28" s="26" t="s">
        <v>447</v>
      </c>
      <c r="E28" s="26" t="s">
        <v>637</v>
      </c>
    </row>
    <row r="29" spans="1:5">
      <c r="A29" s="188" t="str">
        <f t="shared" si="3"/>
        <v>4</v>
      </c>
      <c r="B29" s="188">
        <v>4</v>
      </c>
      <c r="C29" s="196" t="s">
        <v>640</v>
      </c>
      <c r="D29" s="26" t="s">
        <v>447</v>
      </c>
      <c r="E29" s="26" t="s">
        <v>641</v>
      </c>
    </row>
    <row r="30" spans="1:5">
      <c r="A30" s="188" t="str">
        <f t="shared" si="3"/>
        <v>5</v>
      </c>
      <c r="B30" s="188">
        <v>5</v>
      </c>
      <c r="C30" s="196" t="s">
        <v>642</v>
      </c>
      <c r="D30" s="26" t="s">
        <v>447</v>
      </c>
      <c r="E30" s="26" t="s">
        <v>643</v>
      </c>
    </row>
    <row r="31" spans="1:5">
      <c r="A31" s="5"/>
      <c r="B31" s="5"/>
      <c r="C31" s="5"/>
      <c r="D31" s="5"/>
      <c r="E31" s="5"/>
    </row>
    <row r="32" spans="1:5">
      <c r="A32" s="378" t="s">
        <v>691</v>
      </c>
      <c r="B32" s="379"/>
      <c r="C32" s="379"/>
      <c r="D32" s="379"/>
      <c r="E32" s="379"/>
    </row>
    <row r="33" spans="1:5">
      <c r="A33" s="148" t="s">
        <v>74</v>
      </c>
      <c r="B33" s="160" t="s">
        <v>75</v>
      </c>
      <c r="C33" s="187" t="s">
        <v>79</v>
      </c>
      <c r="D33" s="151" t="s">
        <v>78</v>
      </c>
      <c r="E33" s="124"/>
    </row>
    <row r="34" spans="1:5">
      <c r="A34" s="188" t="str">
        <f>DEC2HEX(B34)</f>
        <v>0</v>
      </c>
      <c r="B34" s="188">
        <v>0</v>
      </c>
      <c r="C34" s="189" t="s">
        <v>644</v>
      </c>
      <c r="D34" s="28" t="s">
        <v>82</v>
      </c>
      <c r="E34" s="28"/>
    </row>
    <row r="35" spans="1:5">
      <c r="A35" s="188" t="str">
        <f t="shared" ref="A35:A42" si="4">DEC2HEX(B35)</f>
        <v>4</v>
      </c>
      <c r="B35" s="188">
        <f>B34+4</f>
        <v>4</v>
      </c>
      <c r="C35" s="189" t="s">
        <v>645</v>
      </c>
      <c r="D35" s="28" t="s">
        <v>82</v>
      </c>
      <c r="E35" s="28"/>
    </row>
    <row r="36" spans="1:5">
      <c r="A36" s="188" t="str">
        <f t="shared" si="4"/>
        <v>8</v>
      </c>
      <c r="B36" s="188">
        <f>B35+4</f>
        <v>8</v>
      </c>
      <c r="C36" s="189" t="s">
        <v>646</v>
      </c>
      <c r="D36" s="28" t="s">
        <v>82</v>
      </c>
      <c r="E36" s="28"/>
    </row>
    <row r="37" spans="1:5">
      <c r="A37" s="188" t="str">
        <f t="shared" si="4"/>
        <v>C</v>
      </c>
      <c r="B37" s="188">
        <f t="shared" ref="B37:B43" si="5">B36+4</f>
        <v>12</v>
      </c>
      <c r="C37" s="189" t="s">
        <v>647</v>
      </c>
      <c r="D37" s="28" t="s">
        <v>82</v>
      </c>
      <c r="E37" s="28"/>
    </row>
    <row r="38" spans="1:5">
      <c r="A38" s="188" t="str">
        <f t="shared" si="4"/>
        <v>10</v>
      </c>
      <c r="B38" s="188">
        <f t="shared" si="5"/>
        <v>16</v>
      </c>
      <c r="C38" s="189" t="s">
        <v>648</v>
      </c>
      <c r="D38" s="28" t="s">
        <v>82</v>
      </c>
      <c r="E38" s="28"/>
    </row>
    <row r="39" spans="1:5">
      <c r="A39" s="188" t="str">
        <f t="shared" si="4"/>
        <v>14</v>
      </c>
      <c r="B39" s="188">
        <f t="shared" si="5"/>
        <v>20</v>
      </c>
      <c r="C39" s="189" t="s">
        <v>649</v>
      </c>
      <c r="D39" s="28" t="s">
        <v>82</v>
      </c>
      <c r="E39" s="28"/>
    </row>
    <row r="40" spans="1:5">
      <c r="A40" s="188" t="str">
        <f t="shared" si="4"/>
        <v>18</v>
      </c>
      <c r="B40" s="188">
        <f t="shared" si="5"/>
        <v>24</v>
      </c>
      <c r="C40" s="189" t="s">
        <v>650</v>
      </c>
      <c r="D40" s="28" t="s">
        <v>82</v>
      </c>
      <c r="E40" s="28"/>
    </row>
    <row r="41" spans="1:5">
      <c r="A41" s="188" t="str">
        <f t="shared" si="4"/>
        <v>1C</v>
      </c>
      <c r="B41" s="188">
        <f t="shared" si="5"/>
        <v>28</v>
      </c>
      <c r="C41" s="189" t="s">
        <v>651</v>
      </c>
      <c r="D41" s="28" t="s">
        <v>82</v>
      </c>
      <c r="E41" s="28"/>
    </row>
    <row r="42" spans="1:5">
      <c r="A42" s="188" t="str">
        <f t="shared" si="4"/>
        <v>20</v>
      </c>
      <c r="B42" s="188">
        <f t="shared" si="5"/>
        <v>32</v>
      </c>
      <c r="C42" s="189" t="s">
        <v>652</v>
      </c>
      <c r="D42" s="28" t="s">
        <v>82</v>
      </c>
      <c r="E42" s="28"/>
    </row>
    <row r="43" spans="1:5">
      <c r="A43" s="190" t="str">
        <f>DEC2HEX(B43)</f>
        <v>24</v>
      </c>
      <c r="B43" s="190">
        <f t="shared" si="5"/>
        <v>36</v>
      </c>
      <c r="C43" s="191" t="s">
        <v>655</v>
      </c>
      <c r="D43" s="28" t="s">
        <v>82</v>
      </c>
      <c r="E43" s="28"/>
    </row>
    <row r="45" spans="1:5">
      <c r="A45" s="378" t="s">
        <v>656</v>
      </c>
      <c r="B45" s="379"/>
      <c r="C45" s="379"/>
      <c r="D45" s="379"/>
      <c r="E45" s="379"/>
    </row>
    <row r="46" spans="1:5">
      <c r="A46" s="148" t="s">
        <v>74</v>
      </c>
      <c r="B46" s="148" t="s">
        <v>75</v>
      </c>
      <c r="C46" s="197" t="s">
        <v>657</v>
      </c>
      <c r="D46" s="98" t="s">
        <v>78</v>
      </c>
      <c r="E46" s="98" t="s">
        <v>420</v>
      </c>
    </row>
    <row r="47" spans="1:5" ht="27.6">
      <c r="A47" s="198">
        <v>0</v>
      </c>
      <c r="B47" s="198">
        <v>0</v>
      </c>
      <c r="C47" s="199" t="s">
        <v>18</v>
      </c>
      <c r="D47" s="47" t="s">
        <v>387</v>
      </c>
      <c r="E47" s="200" t="s">
        <v>658</v>
      </c>
    </row>
  </sheetData>
  <mergeCells count="5">
    <mergeCell ref="A1:E1"/>
    <mergeCell ref="A10:E10"/>
    <mergeCell ref="A24:E24"/>
    <mergeCell ref="A32:E32"/>
    <mergeCell ref="A45:E45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EACC6-9BFF-423D-BF23-FC503E2051F4}">
  <sheetPr>
    <tabColor rgb="FF00B050"/>
  </sheetPr>
  <dimension ref="A1:B14"/>
  <sheetViews>
    <sheetView zoomScale="55" zoomScaleNormal="55" workbookViewId="0">
      <pane ySplit="1" topLeftCell="A2" activePane="bottomLeft" state="frozen"/>
      <selection activeCell="C43" sqref="C43"/>
      <selection pane="bottomLeft" activeCell="B14" sqref="A7:B14"/>
    </sheetView>
  </sheetViews>
  <sheetFormatPr defaultColWidth="9" defaultRowHeight="13.8"/>
  <cols>
    <col min="1" max="1" width="6.21875" style="4" bestFit="1" customWidth="1"/>
    <col min="2" max="2" width="80.109375" style="4" bestFit="1" customWidth="1"/>
    <col min="3" max="16384" width="9" style="4"/>
  </cols>
  <sheetData>
    <row r="1" spans="1:2">
      <c r="A1" s="435" t="s">
        <v>664</v>
      </c>
      <c r="B1" s="436"/>
    </row>
    <row r="2" spans="1:2">
      <c r="A2" s="210" t="s">
        <v>665</v>
      </c>
      <c r="B2" s="212" t="s">
        <v>867</v>
      </c>
    </row>
    <row r="3" spans="1:2">
      <c r="A3" s="211" t="s">
        <v>666</v>
      </c>
      <c r="B3" s="237" t="s">
        <v>868</v>
      </c>
    </row>
    <row r="7" spans="1:2">
      <c r="A7" s="437" t="s">
        <v>667</v>
      </c>
      <c r="B7" s="438"/>
    </row>
    <row r="8" spans="1:2">
      <c r="A8" s="126" t="s">
        <v>665</v>
      </c>
      <c r="B8" s="4" t="s">
        <v>668</v>
      </c>
    </row>
    <row r="9" spans="1:2">
      <c r="A9" s="126" t="s">
        <v>669</v>
      </c>
      <c r="B9" s="4" t="s">
        <v>670</v>
      </c>
    </row>
    <row r="10" spans="1:2" ht="55.2">
      <c r="A10" s="213" t="s">
        <v>671</v>
      </c>
      <c r="B10" s="127" t="s">
        <v>672</v>
      </c>
    </row>
    <row r="11" spans="1:2">
      <c r="A11" s="214" t="s">
        <v>666</v>
      </c>
      <c r="B11" s="127" t="s">
        <v>673</v>
      </c>
    </row>
    <row r="13" spans="1:2">
      <c r="B13" s="4" t="s">
        <v>674</v>
      </c>
    </row>
    <row r="14" spans="1:2" ht="41.4">
      <c r="B14" s="215" t="s">
        <v>675</v>
      </c>
    </row>
  </sheetData>
  <mergeCells count="2">
    <mergeCell ref="A1:B1"/>
    <mergeCell ref="A7:B7"/>
  </mergeCells>
  <phoneticPr fontId="3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Visio.Drawing.15" shapeId="16385" r:id="rId4">
          <objectPr defaultSize="0" autoPict="0" r:id="rId5">
            <anchor moveWithCells="1">
              <from>
                <xdr:col>2</xdr:col>
                <xdr:colOff>213360</xdr:colOff>
                <xdr:row>9</xdr:row>
                <xdr:rowOff>411480</xdr:rowOff>
              </from>
              <to>
                <xdr:col>10</xdr:col>
                <xdr:colOff>541020</xdr:colOff>
                <xdr:row>24</xdr:row>
                <xdr:rowOff>60960</xdr:rowOff>
              </to>
            </anchor>
          </objectPr>
        </oleObject>
      </mc:Choice>
      <mc:Fallback>
        <oleObject progId="Visio.Drawing.15" shapeId="16385" r:id="rId4"/>
      </mc:Fallback>
    </mc:AlternateContent>
  </oleObjec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969FC-B984-46C7-9BAD-5DBE70FAFC14}">
  <sheetPr>
    <tabColor rgb="FF92D050"/>
  </sheetPr>
  <dimension ref="A1:E46"/>
  <sheetViews>
    <sheetView zoomScale="85" zoomScaleNormal="85" workbookViewId="0">
      <selection activeCell="E25" sqref="E25"/>
    </sheetView>
  </sheetViews>
  <sheetFormatPr defaultColWidth="8.88671875" defaultRowHeight="13.8"/>
  <cols>
    <col min="1" max="1" width="38.77734375" style="4" customWidth="1"/>
    <col min="2" max="2" width="11.21875" style="4" bestFit="1" customWidth="1"/>
    <col min="3" max="3" width="29.33203125" style="4" bestFit="1" customWidth="1"/>
    <col min="4" max="4" width="53.77734375" style="4" customWidth="1"/>
    <col min="5" max="5" width="47.88671875" style="4" customWidth="1"/>
    <col min="6" max="6" width="39.77734375" style="4" customWidth="1"/>
    <col min="7" max="16384" width="8.88671875" style="4"/>
  </cols>
  <sheetData>
    <row r="1" spans="1:5">
      <c r="A1" s="439" t="s">
        <v>740</v>
      </c>
      <c r="B1" s="440"/>
      <c r="C1" s="440"/>
      <c r="D1" s="441"/>
    </row>
    <row r="2" spans="1:5">
      <c r="A2" s="36" t="s">
        <v>394</v>
      </c>
      <c r="B2" s="17" t="s">
        <v>75</v>
      </c>
      <c r="C2" s="79" t="s">
        <v>395</v>
      </c>
      <c r="D2" s="80" t="s">
        <v>396</v>
      </c>
    </row>
    <row r="3" spans="1:5" ht="111">
      <c r="A3" s="81">
        <v>0</v>
      </c>
      <c r="B3" s="82">
        <v>0</v>
      </c>
      <c r="C3" s="82" t="s">
        <v>397</v>
      </c>
      <c r="D3" s="83" t="s">
        <v>738</v>
      </c>
      <c r="E3" s="84" t="s">
        <v>871</v>
      </c>
    </row>
    <row r="9" spans="1:5">
      <c r="A9" s="85" t="s">
        <v>750</v>
      </c>
      <c r="B9" s="234" t="s">
        <v>1028</v>
      </c>
      <c r="C9" s="234" t="s">
        <v>763</v>
      </c>
      <c r="D9" s="234" t="s">
        <v>764</v>
      </c>
    </row>
    <row r="10" spans="1:5">
      <c r="A10" s="270" t="s">
        <v>256</v>
      </c>
      <c r="B10" s="271" t="s">
        <v>276</v>
      </c>
      <c r="C10" s="272" t="s">
        <v>267</v>
      </c>
      <c r="D10" s="272" t="s">
        <v>267</v>
      </c>
    </row>
    <row r="11" spans="1:5">
      <c r="A11" s="273" t="s">
        <v>909</v>
      </c>
      <c r="B11" s="272" t="s">
        <v>276</v>
      </c>
      <c r="C11" s="272" t="s">
        <v>276</v>
      </c>
      <c r="D11" s="272" t="s">
        <v>276</v>
      </c>
    </row>
    <row r="12" spans="1:5">
      <c r="A12" s="273" t="s">
        <v>751</v>
      </c>
      <c r="B12" s="272" t="s">
        <v>276</v>
      </c>
      <c r="C12" s="272" t="s">
        <v>276</v>
      </c>
      <c r="D12" s="272" t="s">
        <v>276</v>
      </c>
    </row>
    <row r="13" spans="1:5">
      <c r="A13" s="274" t="s">
        <v>910</v>
      </c>
      <c r="B13" s="272" t="s">
        <v>276</v>
      </c>
      <c r="C13" s="272" t="s">
        <v>276</v>
      </c>
      <c r="D13" s="272" t="s">
        <v>276</v>
      </c>
    </row>
    <row r="14" spans="1:5" ht="41.4">
      <c r="A14" s="273" t="s">
        <v>752</v>
      </c>
      <c r="B14" s="275" t="s">
        <v>267</v>
      </c>
      <c r="C14" s="275" t="s">
        <v>768</v>
      </c>
      <c r="D14" s="275" t="s">
        <v>769</v>
      </c>
    </row>
    <row r="15" spans="1:5">
      <c r="A15" s="276" t="s">
        <v>753</v>
      </c>
      <c r="B15" s="275" t="s">
        <v>267</v>
      </c>
      <c r="C15" s="275" t="s">
        <v>267</v>
      </c>
      <c r="D15" s="272" t="s">
        <v>765</v>
      </c>
    </row>
    <row r="16" spans="1:5">
      <c r="A16" s="273" t="s">
        <v>754</v>
      </c>
      <c r="B16" s="275" t="s">
        <v>267</v>
      </c>
      <c r="C16" s="275" t="s">
        <v>267</v>
      </c>
      <c r="D16" s="272" t="s">
        <v>766</v>
      </c>
    </row>
    <row r="17" spans="1:4" ht="41.4">
      <c r="A17" s="274" t="s">
        <v>755</v>
      </c>
      <c r="B17" s="275" t="s">
        <v>267</v>
      </c>
      <c r="C17" s="275" t="s">
        <v>770</v>
      </c>
      <c r="D17" s="275" t="s">
        <v>769</v>
      </c>
    </row>
    <row r="18" spans="1:4" ht="41.4">
      <c r="A18" s="273" t="s">
        <v>756</v>
      </c>
      <c r="B18" s="275" t="s">
        <v>267</v>
      </c>
      <c r="C18" s="275" t="s">
        <v>768</v>
      </c>
      <c r="D18" s="275" t="s">
        <v>769</v>
      </c>
    </row>
    <row r="19" spans="1:4" ht="41.4">
      <c r="A19" s="273" t="s">
        <v>911</v>
      </c>
      <c r="B19" s="275" t="s">
        <v>267</v>
      </c>
      <c r="C19" s="275" t="s">
        <v>768</v>
      </c>
      <c r="D19" s="275" t="s">
        <v>769</v>
      </c>
    </row>
    <row r="20" spans="1:4">
      <c r="A20" s="273" t="s">
        <v>757</v>
      </c>
      <c r="B20" s="277" t="s">
        <v>276</v>
      </c>
      <c r="C20" s="277" t="s">
        <v>276</v>
      </c>
      <c r="D20" s="277" t="s">
        <v>276</v>
      </c>
    </row>
    <row r="21" spans="1:4">
      <c r="A21" s="273" t="s">
        <v>758</v>
      </c>
      <c r="B21" s="272" t="s">
        <v>276</v>
      </c>
      <c r="C21" s="272" t="s">
        <v>276</v>
      </c>
      <c r="D21" s="272" t="s">
        <v>276</v>
      </c>
    </row>
    <row r="22" spans="1:4">
      <c r="A22" s="339" t="s">
        <v>759</v>
      </c>
      <c r="B22" s="348" t="s">
        <v>276</v>
      </c>
      <c r="C22" s="348" t="s">
        <v>1023</v>
      </c>
      <c r="D22" s="348" t="s">
        <v>1023</v>
      </c>
    </row>
    <row r="23" spans="1:4">
      <c r="A23" s="273" t="s">
        <v>912</v>
      </c>
      <c r="B23" s="278" t="s">
        <v>276</v>
      </c>
      <c r="C23" s="278" t="s">
        <v>767</v>
      </c>
      <c r="D23" s="278" t="s">
        <v>767</v>
      </c>
    </row>
    <row r="24" spans="1:4">
      <c r="A24" s="340" t="s">
        <v>1027</v>
      </c>
      <c r="B24" s="348" t="s">
        <v>276</v>
      </c>
      <c r="C24" s="348" t="s">
        <v>1023</v>
      </c>
      <c r="D24" s="348" t="s">
        <v>1023</v>
      </c>
    </row>
    <row r="25" spans="1:4">
      <c r="A25" s="279" t="s">
        <v>291</v>
      </c>
      <c r="B25" s="278" t="s">
        <v>276</v>
      </c>
      <c r="C25" s="278" t="s">
        <v>767</v>
      </c>
      <c r="D25" s="278" t="s">
        <v>767</v>
      </c>
    </row>
    <row r="26" spans="1:4">
      <c r="A26" s="279" t="s">
        <v>760</v>
      </c>
      <c r="B26" s="275" t="s">
        <v>276</v>
      </c>
      <c r="C26" s="275" t="s">
        <v>276</v>
      </c>
      <c r="D26" s="275" t="s">
        <v>276</v>
      </c>
    </row>
    <row r="27" spans="1:4">
      <c r="A27" s="341" t="s">
        <v>761</v>
      </c>
      <c r="B27" s="342" t="s">
        <v>908</v>
      </c>
      <c r="C27" s="342" t="s">
        <v>907</v>
      </c>
      <c r="D27" s="342" t="s">
        <v>907</v>
      </c>
    </row>
    <row r="28" spans="1:4">
      <c r="A28" s="273" t="s">
        <v>275</v>
      </c>
      <c r="B28" s="275" t="s">
        <v>276</v>
      </c>
      <c r="C28" s="275" t="s">
        <v>276</v>
      </c>
      <c r="D28" s="275" t="s">
        <v>276</v>
      </c>
    </row>
    <row r="34" spans="1:5">
      <c r="A34" s="442" t="s">
        <v>746</v>
      </c>
      <c r="B34" s="443"/>
      <c r="C34" s="443"/>
      <c r="D34" s="443"/>
      <c r="E34" s="444"/>
    </row>
    <row r="35" spans="1:5">
      <c r="A35" s="89" t="s">
        <v>398</v>
      </c>
      <c r="B35" s="89" t="s">
        <v>399</v>
      </c>
      <c r="C35" s="90" t="s">
        <v>400</v>
      </c>
      <c r="D35" s="91" t="s">
        <v>395</v>
      </c>
      <c r="E35" s="92" t="s">
        <v>401</v>
      </c>
    </row>
    <row r="36" spans="1:5">
      <c r="A36" s="23">
        <v>0</v>
      </c>
      <c r="B36" s="23">
        <v>0</v>
      </c>
      <c r="C36" s="28" t="s">
        <v>402</v>
      </c>
      <c r="D36" s="28" t="s">
        <v>403</v>
      </c>
      <c r="E36" s="28" t="s">
        <v>404</v>
      </c>
    </row>
    <row r="37" spans="1:5">
      <c r="A37" s="23">
        <v>2</v>
      </c>
      <c r="B37" s="23">
        <v>2</v>
      </c>
      <c r="C37" s="28" t="s">
        <v>405</v>
      </c>
      <c r="D37" s="28" t="s">
        <v>406</v>
      </c>
      <c r="E37" s="93" t="s">
        <v>407</v>
      </c>
    </row>
    <row r="38" spans="1:5">
      <c r="A38" s="23">
        <v>6</v>
      </c>
      <c r="B38" s="23">
        <v>6</v>
      </c>
      <c r="C38" s="28" t="s">
        <v>408</v>
      </c>
      <c r="D38" s="28" t="s">
        <v>409</v>
      </c>
      <c r="E38" s="93" t="s">
        <v>410</v>
      </c>
    </row>
    <row r="39" spans="1:5">
      <c r="A39" s="23">
        <v>7</v>
      </c>
      <c r="B39" s="23">
        <v>7</v>
      </c>
      <c r="C39" s="94" t="s">
        <v>411</v>
      </c>
      <c r="D39" s="28" t="s">
        <v>409</v>
      </c>
      <c r="E39" s="95" t="s">
        <v>412</v>
      </c>
    </row>
    <row r="41" spans="1:5">
      <c r="A41" s="442" t="s">
        <v>747</v>
      </c>
      <c r="B41" s="443"/>
      <c r="C41" s="443"/>
      <c r="D41" s="444"/>
    </row>
    <row r="42" spans="1:5">
      <c r="A42" s="89" t="s">
        <v>398</v>
      </c>
      <c r="B42" s="89" t="s">
        <v>399</v>
      </c>
      <c r="C42" s="96" t="s">
        <v>413</v>
      </c>
      <c r="D42" s="96" t="s">
        <v>401</v>
      </c>
    </row>
    <row r="43" spans="1:5">
      <c r="A43" s="445">
        <v>0</v>
      </c>
      <c r="B43" s="445">
        <v>0</v>
      </c>
      <c r="C43" s="448" t="s">
        <v>414</v>
      </c>
      <c r="D43" s="28" t="s">
        <v>415</v>
      </c>
    </row>
    <row r="44" spans="1:5">
      <c r="A44" s="446"/>
      <c r="B44" s="446"/>
      <c r="C44" s="449"/>
      <c r="D44" s="28" t="s">
        <v>416</v>
      </c>
    </row>
    <row r="45" spans="1:5">
      <c r="A45" s="446"/>
      <c r="B45" s="446"/>
      <c r="C45" s="449"/>
      <c r="D45" s="28" t="s">
        <v>417</v>
      </c>
    </row>
    <row r="46" spans="1:5">
      <c r="A46" s="447"/>
      <c r="B46" s="447"/>
      <c r="C46" s="450"/>
      <c r="D46" s="28" t="s">
        <v>418</v>
      </c>
    </row>
  </sheetData>
  <mergeCells count="6">
    <mergeCell ref="A1:D1"/>
    <mergeCell ref="A41:D41"/>
    <mergeCell ref="A43:A46"/>
    <mergeCell ref="B43:B46"/>
    <mergeCell ref="C43:C46"/>
    <mergeCell ref="A34:E34"/>
  </mergeCells>
  <phoneticPr fontId="3" type="noConversion"/>
  <conditionalFormatting sqref="A10:A28">
    <cfRule type="duplicateValues" dxfId="2" priority="1"/>
  </conditionalFormatting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1BFE3-45AE-479D-AF24-6E92E034FF15}">
  <sheetPr>
    <tabColor rgb="FF92D050"/>
  </sheetPr>
  <dimension ref="A1:E42"/>
  <sheetViews>
    <sheetView topLeftCell="A12" zoomScale="70" zoomScaleNormal="70" workbookViewId="0">
      <selection activeCell="B20" sqref="B20:D20"/>
    </sheetView>
  </sheetViews>
  <sheetFormatPr defaultColWidth="8.88671875" defaultRowHeight="13.8"/>
  <cols>
    <col min="1" max="1" width="38.77734375" style="4" customWidth="1"/>
    <col min="2" max="2" width="11.21875" style="4" bestFit="1" customWidth="1"/>
    <col min="3" max="3" width="29.33203125" style="4" bestFit="1" customWidth="1"/>
    <col min="4" max="4" width="53.77734375" style="4" customWidth="1"/>
    <col min="5" max="5" width="47.88671875" style="4" customWidth="1"/>
    <col min="6" max="6" width="39.77734375" style="4" customWidth="1"/>
    <col min="7" max="16384" width="8.88671875" style="4"/>
  </cols>
  <sheetData>
    <row r="1" spans="1:5">
      <c r="A1" s="439" t="s">
        <v>741</v>
      </c>
      <c r="B1" s="440"/>
      <c r="C1" s="440"/>
      <c r="D1" s="441"/>
    </row>
    <row r="2" spans="1:5">
      <c r="A2" s="36" t="s">
        <v>394</v>
      </c>
      <c r="B2" s="17" t="s">
        <v>75</v>
      </c>
      <c r="C2" s="79" t="s">
        <v>395</v>
      </c>
      <c r="D2" s="80" t="s">
        <v>396</v>
      </c>
    </row>
    <row r="3" spans="1:5" ht="111">
      <c r="A3" s="81">
        <v>0</v>
      </c>
      <c r="B3" s="82">
        <v>0</v>
      </c>
      <c r="C3" s="82" t="s">
        <v>397</v>
      </c>
      <c r="D3" s="83" t="s">
        <v>737</v>
      </c>
      <c r="E3" s="84" t="s">
        <v>739</v>
      </c>
    </row>
    <row r="7" spans="1:5">
      <c r="A7" s="85" t="s">
        <v>771</v>
      </c>
      <c r="B7" s="234" t="s">
        <v>762</v>
      </c>
      <c r="C7" s="234" t="s">
        <v>763</v>
      </c>
      <c r="D7" s="234" t="s">
        <v>764</v>
      </c>
    </row>
    <row r="8" spans="1:5">
      <c r="A8" s="270" t="s">
        <v>256</v>
      </c>
      <c r="B8" s="271" t="s">
        <v>276</v>
      </c>
      <c r="C8" s="272" t="s">
        <v>267</v>
      </c>
      <c r="D8" s="272" t="s">
        <v>267</v>
      </c>
    </row>
    <row r="9" spans="1:5">
      <c r="A9" s="273" t="s">
        <v>295</v>
      </c>
      <c r="B9" s="272" t="s">
        <v>276</v>
      </c>
      <c r="C9" s="272" t="s">
        <v>276</v>
      </c>
      <c r="D9" s="272" t="s">
        <v>276</v>
      </c>
    </row>
    <row r="10" spans="1:5">
      <c r="A10" s="273" t="s">
        <v>297</v>
      </c>
      <c r="B10" s="272" t="s">
        <v>276</v>
      </c>
      <c r="C10" s="272" t="s">
        <v>276</v>
      </c>
      <c r="D10" s="272" t="s">
        <v>276</v>
      </c>
    </row>
    <row r="11" spans="1:5">
      <c r="A11" s="274" t="s">
        <v>298</v>
      </c>
      <c r="B11" s="272" t="s">
        <v>276</v>
      </c>
      <c r="C11" s="272" t="s">
        <v>276</v>
      </c>
      <c r="D11" s="272" t="s">
        <v>276</v>
      </c>
    </row>
    <row r="12" spans="1:5" ht="41.4">
      <c r="A12" s="273" t="s">
        <v>299</v>
      </c>
      <c r="B12" s="275" t="s">
        <v>267</v>
      </c>
      <c r="C12" s="275" t="s">
        <v>768</v>
      </c>
      <c r="D12" s="275" t="s">
        <v>769</v>
      </c>
    </row>
    <row r="13" spans="1:5">
      <c r="A13" s="276" t="s">
        <v>300</v>
      </c>
      <c r="B13" s="275" t="s">
        <v>267</v>
      </c>
      <c r="C13" s="275" t="s">
        <v>267</v>
      </c>
      <c r="D13" s="272" t="s">
        <v>765</v>
      </c>
    </row>
    <row r="14" spans="1:5">
      <c r="A14" s="273" t="s">
        <v>270</v>
      </c>
      <c r="B14" s="275" t="s">
        <v>267</v>
      </c>
      <c r="C14" s="275" t="s">
        <v>267</v>
      </c>
      <c r="D14" s="272" t="s">
        <v>766</v>
      </c>
    </row>
    <row r="15" spans="1:5" ht="41.4">
      <c r="A15" s="274" t="s">
        <v>272</v>
      </c>
      <c r="B15" s="275" t="s">
        <v>267</v>
      </c>
      <c r="C15" s="275" t="s">
        <v>770</v>
      </c>
      <c r="D15" s="275" t="s">
        <v>769</v>
      </c>
    </row>
    <row r="16" spans="1:5" ht="41.4">
      <c r="A16" s="273" t="s">
        <v>302</v>
      </c>
      <c r="B16" s="275" t="s">
        <v>267</v>
      </c>
      <c r="C16" s="275" t="s">
        <v>768</v>
      </c>
      <c r="D16" s="275" t="s">
        <v>769</v>
      </c>
    </row>
    <row r="17" spans="1:5" ht="41.4">
      <c r="A17" s="273" t="s">
        <v>304</v>
      </c>
      <c r="B17" s="275" t="s">
        <v>267</v>
      </c>
      <c r="C17" s="275" t="s">
        <v>768</v>
      </c>
      <c r="D17" s="275" t="s">
        <v>769</v>
      </c>
    </row>
    <row r="18" spans="1:5">
      <c r="A18" s="273" t="s">
        <v>306</v>
      </c>
      <c r="B18" s="277" t="s">
        <v>276</v>
      </c>
      <c r="C18" s="277" t="s">
        <v>276</v>
      </c>
      <c r="D18" s="277" t="s">
        <v>276</v>
      </c>
    </row>
    <row r="19" spans="1:5">
      <c r="A19" s="273" t="s">
        <v>308</v>
      </c>
      <c r="B19" s="272" t="s">
        <v>276</v>
      </c>
      <c r="C19" s="272" t="s">
        <v>276</v>
      </c>
      <c r="D19" s="272" t="s">
        <v>276</v>
      </c>
    </row>
    <row r="20" spans="1:5">
      <c r="A20" s="339" t="s">
        <v>759</v>
      </c>
      <c r="B20" s="348" t="s">
        <v>276</v>
      </c>
      <c r="C20" s="348" t="s">
        <v>1023</v>
      </c>
      <c r="D20" s="348" t="s">
        <v>1023</v>
      </c>
    </row>
    <row r="21" spans="1:5">
      <c r="A21" s="273" t="s">
        <v>912</v>
      </c>
      <c r="B21" s="278" t="s">
        <v>276</v>
      </c>
      <c r="C21" s="278" t="s">
        <v>767</v>
      </c>
      <c r="D21" s="278" t="s">
        <v>767</v>
      </c>
    </row>
    <row r="22" spans="1:5">
      <c r="A22" s="340" t="s">
        <v>289</v>
      </c>
      <c r="B22" s="348" t="s">
        <v>276</v>
      </c>
      <c r="C22" s="348" t="s">
        <v>1023</v>
      </c>
      <c r="D22" s="348" t="s">
        <v>1023</v>
      </c>
    </row>
    <row r="23" spans="1:5">
      <c r="A23" s="279" t="s">
        <v>316</v>
      </c>
      <c r="B23" s="278" t="s">
        <v>276</v>
      </c>
      <c r="C23" s="278" t="s">
        <v>767</v>
      </c>
      <c r="D23" s="278" t="s">
        <v>767</v>
      </c>
    </row>
    <row r="24" spans="1:5">
      <c r="A24" s="279" t="s">
        <v>318</v>
      </c>
      <c r="B24" s="275" t="s">
        <v>276</v>
      </c>
      <c r="C24" s="275" t="s">
        <v>276</v>
      </c>
      <c r="D24" s="275" t="s">
        <v>276</v>
      </c>
    </row>
    <row r="25" spans="1:5">
      <c r="A25" s="279" t="s">
        <v>320</v>
      </c>
      <c r="B25" s="280"/>
      <c r="C25" s="280"/>
      <c r="D25" s="280"/>
    </row>
    <row r="26" spans="1:5">
      <c r="A26" s="273" t="s">
        <v>275</v>
      </c>
      <c r="B26" s="275" t="s">
        <v>276</v>
      </c>
      <c r="C26" s="275" t="s">
        <v>276</v>
      </c>
      <c r="D26" s="275" t="s">
        <v>276</v>
      </c>
    </row>
    <row r="30" spans="1:5">
      <c r="A30" s="86" t="s">
        <v>748</v>
      </c>
      <c r="B30" s="87"/>
      <c r="C30" s="87"/>
      <c r="D30" s="87"/>
      <c r="E30" s="88"/>
    </row>
    <row r="31" spans="1:5">
      <c r="A31" s="89" t="s">
        <v>398</v>
      </c>
      <c r="B31" s="89" t="s">
        <v>399</v>
      </c>
      <c r="C31" s="90" t="s">
        <v>400</v>
      </c>
      <c r="D31" s="91" t="s">
        <v>395</v>
      </c>
      <c r="E31" s="92" t="s">
        <v>401</v>
      </c>
    </row>
    <row r="32" spans="1:5">
      <c r="A32" s="23">
        <v>0</v>
      </c>
      <c r="B32" s="23">
        <v>0</v>
      </c>
      <c r="C32" s="28" t="s">
        <v>402</v>
      </c>
      <c r="D32" s="28" t="s">
        <v>403</v>
      </c>
      <c r="E32" s="28" t="s">
        <v>404</v>
      </c>
    </row>
    <row r="33" spans="1:5">
      <c r="A33" s="23">
        <v>2</v>
      </c>
      <c r="B33" s="23">
        <v>2</v>
      </c>
      <c r="C33" s="28" t="s">
        <v>405</v>
      </c>
      <c r="D33" s="28" t="s">
        <v>406</v>
      </c>
      <c r="E33" s="93" t="s">
        <v>407</v>
      </c>
    </row>
    <row r="34" spans="1:5">
      <c r="A34" s="23">
        <v>6</v>
      </c>
      <c r="B34" s="23">
        <v>6</v>
      </c>
      <c r="C34" s="28" t="s">
        <v>408</v>
      </c>
      <c r="D34" s="28" t="s">
        <v>409</v>
      </c>
      <c r="E34" s="93" t="s">
        <v>410</v>
      </c>
    </row>
    <row r="35" spans="1:5">
      <c r="A35" s="23">
        <v>7</v>
      </c>
      <c r="B35" s="23">
        <v>7</v>
      </c>
      <c r="C35" s="94" t="s">
        <v>411</v>
      </c>
      <c r="D35" s="28" t="s">
        <v>409</v>
      </c>
      <c r="E35" s="95" t="s">
        <v>412</v>
      </c>
    </row>
    <row r="37" spans="1:5">
      <c r="A37" s="442" t="s">
        <v>749</v>
      </c>
      <c r="B37" s="443"/>
      <c r="C37" s="443"/>
      <c r="D37" s="444"/>
    </row>
    <row r="38" spans="1:5">
      <c r="A38" s="89" t="s">
        <v>398</v>
      </c>
      <c r="B38" s="89" t="s">
        <v>399</v>
      </c>
      <c r="C38" s="96" t="s">
        <v>413</v>
      </c>
      <c r="D38" s="96" t="s">
        <v>401</v>
      </c>
    </row>
    <row r="39" spans="1:5">
      <c r="A39" s="445">
        <v>0</v>
      </c>
      <c r="B39" s="445">
        <v>0</v>
      </c>
      <c r="C39" s="448" t="s">
        <v>414</v>
      </c>
      <c r="D39" s="28" t="s">
        <v>415</v>
      </c>
    </row>
    <row r="40" spans="1:5">
      <c r="A40" s="446"/>
      <c r="B40" s="446"/>
      <c r="C40" s="449"/>
      <c r="D40" s="28" t="s">
        <v>416</v>
      </c>
    </row>
    <row r="41" spans="1:5">
      <c r="A41" s="446"/>
      <c r="B41" s="446"/>
      <c r="C41" s="449"/>
      <c r="D41" s="28" t="s">
        <v>417</v>
      </c>
    </row>
    <row r="42" spans="1:5">
      <c r="A42" s="447"/>
      <c r="B42" s="447"/>
      <c r="C42" s="450"/>
      <c r="D42" s="28" t="s">
        <v>418</v>
      </c>
    </row>
  </sheetData>
  <mergeCells count="5">
    <mergeCell ref="A1:D1"/>
    <mergeCell ref="A37:D37"/>
    <mergeCell ref="A39:A42"/>
    <mergeCell ref="B39:B42"/>
    <mergeCell ref="C39:C42"/>
  </mergeCells>
  <phoneticPr fontId="3" type="noConversion"/>
  <conditionalFormatting sqref="A8:A19 A23:A26">
    <cfRule type="duplicateValues" dxfId="1" priority="2"/>
  </conditionalFormatting>
  <conditionalFormatting sqref="A20:A22">
    <cfRule type="duplicateValues" dxfId="0" priority="1"/>
  </conditionalFormatting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8D0CB-DA51-496C-94B6-B76751173CAE}">
  <dimension ref="A1:F73"/>
  <sheetViews>
    <sheetView tabSelected="1" zoomScale="70" zoomScaleNormal="70" workbookViewId="0">
      <pane ySplit="1" topLeftCell="A4" activePane="bottomLeft" state="frozen"/>
      <selection pane="bottomLeft" activeCell="K26" sqref="K26"/>
    </sheetView>
  </sheetViews>
  <sheetFormatPr defaultRowHeight="13.8"/>
  <cols>
    <col min="1" max="1" width="17.33203125" style="4" customWidth="1"/>
    <col min="2" max="2" width="10.77734375" style="4" customWidth="1"/>
    <col min="3" max="3" width="42" style="4" customWidth="1"/>
    <col min="4" max="4" width="17" style="4" bestFit="1" customWidth="1"/>
    <col min="5" max="5" width="24.5546875" style="4" bestFit="1" customWidth="1"/>
    <col min="6" max="6" width="22.77734375" style="4" customWidth="1"/>
    <col min="7" max="16384" width="8.88671875" style="4"/>
  </cols>
  <sheetData>
    <row r="1" spans="1:6" ht="21">
      <c r="A1" s="451" t="s">
        <v>922</v>
      </c>
      <c r="B1" s="452"/>
      <c r="C1" s="452"/>
      <c r="D1" s="452"/>
      <c r="E1" s="453"/>
    </row>
    <row r="2" spans="1:6" ht="21">
      <c r="A2" s="454" t="s">
        <v>923</v>
      </c>
      <c r="B2" s="455"/>
      <c r="C2" s="456" t="s">
        <v>924</v>
      </c>
      <c r="D2" s="456" t="s">
        <v>925</v>
      </c>
      <c r="E2" s="456" t="s">
        <v>926</v>
      </c>
    </row>
    <row r="3" spans="1:6" ht="15.75" customHeight="1">
      <c r="A3" s="321" t="s">
        <v>927</v>
      </c>
      <c r="B3" s="321" t="s">
        <v>928</v>
      </c>
      <c r="C3" s="457"/>
      <c r="D3" s="457"/>
      <c r="E3" s="457"/>
      <c r="F3" s="322"/>
    </row>
    <row r="4" spans="1:6" ht="14.4" customHeight="1">
      <c r="A4" s="29">
        <v>0</v>
      </c>
      <c r="B4" s="323" t="str">
        <f>DEC2HEX(A4)</f>
        <v>0</v>
      </c>
      <c r="C4" s="165" t="s">
        <v>929</v>
      </c>
      <c r="D4" s="324" t="s">
        <v>930</v>
      </c>
      <c r="E4" s="23">
        <v>7</v>
      </c>
    </row>
    <row r="5" spans="1:6">
      <c r="A5" s="29">
        <f>A4+E4</f>
        <v>7</v>
      </c>
      <c r="B5" s="323" t="str">
        <f t="shared" ref="B5:B24" si="0">DEC2HEX(A5)</f>
        <v>7</v>
      </c>
      <c r="C5" s="165" t="s">
        <v>931</v>
      </c>
      <c r="D5" s="324" t="s">
        <v>930</v>
      </c>
      <c r="E5" s="23">
        <v>7</v>
      </c>
    </row>
    <row r="6" spans="1:6" ht="14.4" customHeight="1">
      <c r="A6" s="29">
        <f t="shared" ref="A6:A69" si="1">A5+E5</f>
        <v>14</v>
      </c>
      <c r="B6" s="323" t="str">
        <f t="shared" si="0"/>
        <v>E</v>
      </c>
      <c r="C6" s="165" t="s">
        <v>932</v>
      </c>
      <c r="D6" s="324" t="s">
        <v>930</v>
      </c>
      <c r="E6" s="23">
        <v>8</v>
      </c>
    </row>
    <row r="7" spans="1:6" ht="14.4" customHeight="1">
      <c r="A7" s="29">
        <f t="shared" si="1"/>
        <v>22</v>
      </c>
      <c r="B7" s="323" t="str">
        <f t="shared" si="0"/>
        <v>16</v>
      </c>
      <c r="C7" s="165" t="s">
        <v>933</v>
      </c>
      <c r="D7" s="324" t="s">
        <v>930</v>
      </c>
      <c r="E7" s="23">
        <v>8</v>
      </c>
    </row>
    <row r="8" spans="1:6" ht="14.4" customHeight="1">
      <c r="A8" s="29">
        <f t="shared" si="1"/>
        <v>30</v>
      </c>
      <c r="B8" s="323" t="str">
        <f t="shared" si="0"/>
        <v>1E</v>
      </c>
      <c r="C8" s="165" t="s">
        <v>934</v>
      </c>
      <c r="D8" s="324" t="s">
        <v>930</v>
      </c>
      <c r="E8" s="23">
        <v>1</v>
      </c>
    </row>
    <row r="9" spans="1:6">
      <c r="A9" s="29">
        <f t="shared" si="1"/>
        <v>31</v>
      </c>
      <c r="B9" s="323" t="str">
        <f t="shared" si="0"/>
        <v>1F</v>
      </c>
      <c r="C9" s="165" t="s">
        <v>935</v>
      </c>
      <c r="D9" s="324" t="s">
        <v>930</v>
      </c>
      <c r="E9" s="23">
        <v>1</v>
      </c>
    </row>
    <row r="10" spans="1:6">
      <c r="A10" s="29">
        <f t="shared" si="1"/>
        <v>32</v>
      </c>
      <c r="B10" s="323" t="str">
        <f t="shared" si="0"/>
        <v>20</v>
      </c>
      <c r="C10" s="165" t="s">
        <v>936</v>
      </c>
      <c r="D10" s="324" t="s">
        <v>930</v>
      </c>
      <c r="E10" s="23">
        <v>1</v>
      </c>
    </row>
    <row r="11" spans="1:6">
      <c r="A11" s="29">
        <f t="shared" si="1"/>
        <v>33</v>
      </c>
      <c r="B11" s="323" t="str">
        <f t="shared" si="0"/>
        <v>21</v>
      </c>
      <c r="C11" s="165" t="s">
        <v>937</v>
      </c>
      <c r="D11" s="324" t="s">
        <v>930</v>
      </c>
      <c r="E11" s="23">
        <v>3</v>
      </c>
    </row>
    <row r="12" spans="1:6">
      <c r="A12" s="29">
        <f t="shared" si="1"/>
        <v>36</v>
      </c>
      <c r="B12" s="323" t="str">
        <f t="shared" si="0"/>
        <v>24</v>
      </c>
      <c r="C12" s="165" t="s">
        <v>938</v>
      </c>
      <c r="D12" s="324" t="s">
        <v>930</v>
      </c>
      <c r="E12" s="23">
        <v>1</v>
      </c>
    </row>
    <row r="13" spans="1:6">
      <c r="A13" s="29">
        <f t="shared" si="1"/>
        <v>37</v>
      </c>
      <c r="B13" s="323" t="str">
        <f t="shared" si="0"/>
        <v>25</v>
      </c>
      <c r="C13" s="165" t="s">
        <v>939</v>
      </c>
      <c r="D13" s="324" t="s">
        <v>930</v>
      </c>
      <c r="E13" s="23">
        <v>1</v>
      </c>
    </row>
    <row r="14" spans="1:6">
      <c r="A14" s="29">
        <f t="shared" si="1"/>
        <v>38</v>
      </c>
      <c r="B14" s="323" t="str">
        <f t="shared" si="0"/>
        <v>26</v>
      </c>
      <c r="C14" s="165" t="s">
        <v>940</v>
      </c>
      <c r="D14" s="324" t="s">
        <v>930</v>
      </c>
      <c r="E14" s="23">
        <v>6</v>
      </c>
    </row>
    <row r="15" spans="1:6">
      <c r="A15" s="29">
        <f t="shared" si="1"/>
        <v>44</v>
      </c>
      <c r="B15" s="323" t="str">
        <f t="shared" si="0"/>
        <v>2C</v>
      </c>
      <c r="C15" s="165" t="s">
        <v>941</v>
      </c>
      <c r="D15" s="324" t="s">
        <v>930</v>
      </c>
      <c r="E15" s="23">
        <v>2</v>
      </c>
    </row>
    <row r="16" spans="1:6">
      <c r="A16" s="29">
        <f t="shared" si="1"/>
        <v>46</v>
      </c>
      <c r="B16" s="323" t="str">
        <f t="shared" si="0"/>
        <v>2E</v>
      </c>
      <c r="C16" s="165" t="s">
        <v>942</v>
      </c>
      <c r="D16" s="324" t="s">
        <v>930</v>
      </c>
      <c r="E16" s="23">
        <v>6</v>
      </c>
    </row>
    <row r="17" spans="1:5">
      <c r="A17" s="29">
        <f t="shared" si="1"/>
        <v>52</v>
      </c>
      <c r="B17" s="323" t="str">
        <f t="shared" si="0"/>
        <v>34</v>
      </c>
      <c r="C17" s="165" t="s">
        <v>943</v>
      </c>
      <c r="D17" s="324" t="s">
        <v>930</v>
      </c>
      <c r="E17" s="23">
        <v>2</v>
      </c>
    </row>
    <row r="18" spans="1:5">
      <c r="A18" s="29">
        <f t="shared" si="1"/>
        <v>54</v>
      </c>
      <c r="B18" s="323" t="str">
        <f t="shared" si="0"/>
        <v>36</v>
      </c>
      <c r="C18" s="165" t="s">
        <v>944</v>
      </c>
      <c r="D18" s="324" t="s">
        <v>930</v>
      </c>
      <c r="E18" s="23">
        <v>5</v>
      </c>
    </row>
    <row r="19" spans="1:5">
      <c r="A19" s="29">
        <f t="shared" si="1"/>
        <v>59</v>
      </c>
      <c r="B19" s="323" t="str">
        <f t="shared" si="0"/>
        <v>3B</v>
      </c>
      <c r="C19" s="165" t="s">
        <v>945</v>
      </c>
      <c r="D19" s="324" t="s">
        <v>930</v>
      </c>
      <c r="E19" s="23">
        <v>3</v>
      </c>
    </row>
    <row r="20" spans="1:5">
      <c r="A20" s="29">
        <f t="shared" si="1"/>
        <v>62</v>
      </c>
      <c r="B20" s="323" t="str">
        <f t="shared" si="0"/>
        <v>3E</v>
      </c>
      <c r="C20" s="165" t="s">
        <v>946</v>
      </c>
      <c r="D20" s="324" t="s">
        <v>930</v>
      </c>
      <c r="E20" s="23">
        <v>66</v>
      </c>
    </row>
    <row r="21" spans="1:5">
      <c r="A21" s="29">
        <f t="shared" si="1"/>
        <v>128</v>
      </c>
      <c r="B21" s="323" t="str">
        <f t="shared" si="0"/>
        <v>80</v>
      </c>
      <c r="C21" s="165" t="s">
        <v>947</v>
      </c>
      <c r="D21" s="324" t="s">
        <v>930</v>
      </c>
      <c r="E21" s="23">
        <v>5</v>
      </c>
    </row>
    <row r="22" spans="1:5">
      <c r="A22" s="29">
        <f t="shared" si="1"/>
        <v>133</v>
      </c>
      <c r="B22" s="323" t="str">
        <f t="shared" si="0"/>
        <v>85</v>
      </c>
      <c r="C22" s="165" t="s">
        <v>948</v>
      </c>
      <c r="D22" s="324" t="s">
        <v>930</v>
      </c>
      <c r="E22" s="23">
        <v>3</v>
      </c>
    </row>
    <row r="23" spans="1:5">
      <c r="A23" s="29">
        <f t="shared" si="1"/>
        <v>136</v>
      </c>
      <c r="B23" s="323" t="str">
        <f t="shared" si="0"/>
        <v>88</v>
      </c>
      <c r="C23" s="165" t="s">
        <v>949</v>
      </c>
      <c r="D23" s="324" t="s">
        <v>930</v>
      </c>
      <c r="E23" s="23">
        <v>5</v>
      </c>
    </row>
    <row r="24" spans="1:5">
      <c r="A24" s="29">
        <f t="shared" si="1"/>
        <v>141</v>
      </c>
      <c r="B24" s="323" t="str">
        <f t="shared" si="0"/>
        <v>8D</v>
      </c>
      <c r="C24" s="165" t="s">
        <v>950</v>
      </c>
      <c r="D24" s="324" t="s">
        <v>930</v>
      </c>
      <c r="E24" s="23">
        <v>3</v>
      </c>
    </row>
    <row r="25" spans="1:5">
      <c r="A25" s="29">
        <f t="shared" si="1"/>
        <v>144</v>
      </c>
      <c r="B25" s="323" t="str">
        <f>DEC2HEX(A25)</f>
        <v>90</v>
      </c>
      <c r="C25" s="165" t="s">
        <v>951</v>
      </c>
      <c r="D25" s="324" t="s">
        <v>930</v>
      </c>
      <c r="E25" s="23">
        <v>8</v>
      </c>
    </row>
    <row r="26" spans="1:5">
      <c r="A26" s="29">
        <f t="shared" si="1"/>
        <v>152</v>
      </c>
      <c r="B26" s="323" t="str">
        <f t="shared" ref="B26:B71" si="2">DEC2HEX(A26)</f>
        <v>98</v>
      </c>
      <c r="C26" s="165" t="s">
        <v>952</v>
      </c>
      <c r="D26" s="324" t="s">
        <v>930</v>
      </c>
      <c r="E26" s="23">
        <v>8</v>
      </c>
    </row>
    <row r="27" spans="1:5">
      <c r="A27" s="29">
        <f t="shared" si="1"/>
        <v>160</v>
      </c>
      <c r="B27" s="323" t="str">
        <f t="shared" si="2"/>
        <v>A0</v>
      </c>
      <c r="C27" s="165" t="s">
        <v>953</v>
      </c>
      <c r="D27" s="324" t="s">
        <v>930</v>
      </c>
      <c r="E27" s="23">
        <v>8</v>
      </c>
    </row>
    <row r="28" spans="1:5">
      <c r="A28" s="29">
        <f t="shared" si="1"/>
        <v>168</v>
      </c>
      <c r="B28" s="323" t="str">
        <f t="shared" si="2"/>
        <v>A8</v>
      </c>
      <c r="C28" s="165" t="s">
        <v>954</v>
      </c>
      <c r="D28" s="324" t="s">
        <v>930</v>
      </c>
      <c r="E28" s="23">
        <v>76</v>
      </c>
    </row>
    <row r="29" spans="1:5">
      <c r="A29" s="29">
        <f t="shared" si="1"/>
        <v>244</v>
      </c>
      <c r="B29" s="323" t="str">
        <f t="shared" si="2"/>
        <v>F4</v>
      </c>
      <c r="C29" s="165" t="s">
        <v>955</v>
      </c>
      <c r="D29" s="324" t="s">
        <v>956</v>
      </c>
      <c r="E29" s="23">
        <v>4</v>
      </c>
    </row>
    <row r="30" spans="1:5">
      <c r="A30" s="29">
        <f t="shared" si="1"/>
        <v>248</v>
      </c>
      <c r="B30" s="323" t="str">
        <f t="shared" si="2"/>
        <v>F8</v>
      </c>
      <c r="C30" s="165" t="s">
        <v>957</v>
      </c>
      <c r="D30" s="324" t="s">
        <v>958</v>
      </c>
      <c r="E30" s="23">
        <v>4</v>
      </c>
    </row>
    <row r="31" spans="1:5">
      <c r="A31" s="29">
        <f t="shared" si="1"/>
        <v>252</v>
      </c>
      <c r="B31" s="323" t="str">
        <f t="shared" si="2"/>
        <v>FC</v>
      </c>
      <c r="C31" s="165" t="s">
        <v>959</v>
      </c>
      <c r="D31" s="324" t="s">
        <v>958</v>
      </c>
      <c r="E31" s="23">
        <v>4</v>
      </c>
    </row>
    <row r="32" spans="1:5">
      <c r="A32" s="29">
        <f t="shared" si="1"/>
        <v>256</v>
      </c>
      <c r="B32" s="323" t="str">
        <f t="shared" si="2"/>
        <v>100</v>
      </c>
      <c r="C32" s="165" t="s">
        <v>960</v>
      </c>
      <c r="D32" s="324" t="s">
        <v>958</v>
      </c>
      <c r="E32" s="23">
        <v>4</v>
      </c>
    </row>
    <row r="33" spans="1:5">
      <c r="A33" s="29">
        <f t="shared" si="1"/>
        <v>260</v>
      </c>
      <c r="B33" s="323" t="str">
        <f t="shared" si="2"/>
        <v>104</v>
      </c>
      <c r="C33" s="165" t="s">
        <v>961</v>
      </c>
      <c r="D33" s="324" t="s">
        <v>958</v>
      </c>
      <c r="E33" s="23">
        <v>4</v>
      </c>
    </row>
    <row r="34" spans="1:5">
      <c r="A34" s="29">
        <f t="shared" si="1"/>
        <v>264</v>
      </c>
      <c r="B34" s="323" t="str">
        <f t="shared" si="2"/>
        <v>108</v>
      </c>
      <c r="C34" s="165" t="s">
        <v>962</v>
      </c>
      <c r="D34" s="324" t="s">
        <v>963</v>
      </c>
      <c r="E34" s="23">
        <v>2</v>
      </c>
    </row>
    <row r="35" spans="1:5">
      <c r="A35" s="29">
        <f t="shared" si="1"/>
        <v>266</v>
      </c>
      <c r="B35" s="323" t="str">
        <f t="shared" si="2"/>
        <v>10A</v>
      </c>
      <c r="C35" s="165" t="s">
        <v>964</v>
      </c>
      <c r="D35" s="324" t="s">
        <v>930</v>
      </c>
      <c r="E35" s="23">
        <v>17</v>
      </c>
    </row>
    <row r="36" spans="1:5">
      <c r="A36" s="29">
        <f t="shared" si="1"/>
        <v>283</v>
      </c>
      <c r="B36" s="323" t="str">
        <f t="shared" si="2"/>
        <v>11B</v>
      </c>
      <c r="C36" s="165" t="s">
        <v>965</v>
      </c>
      <c r="D36" s="324" t="s">
        <v>958</v>
      </c>
      <c r="E36" s="23">
        <v>4</v>
      </c>
    </row>
    <row r="37" spans="1:5">
      <c r="A37" s="29">
        <f t="shared" si="1"/>
        <v>287</v>
      </c>
      <c r="B37" s="323" t="str">
        <f t="shared" si="2"/>
        <v>11F</v>
      </c>
      <c r="C37" s="165" t="s">
        <v>966</v>
      </c>
      <c r="D37" s="324" t="s">
        <v>958</v>
      </c>
      <c r="E37" s="23">
        <v>4</v>
      </c>
    </row>
    <row r="38" spans="1:5">
      <c r="A38" s="29">
        <f t="shared" si="1"/>
        <v>291</v>
      </c>
      <c r="B38" s="323" t="str">
        <f t="shared" si="2"/>
        <v>123</v>
      </c>
      <c r="C38" s="327" t="s">
        <v>967</v>
      </c>
      <c r="D38" s="324" t="s">
        <v>958</v>
      </c>
      <c r="E38" s="23">
        <v>4</v>
      </c>
    </row>
    <row r="39" spans="1:5">
      <c r="A39" s="29">
        <f t="shared" si="1"/>
        <v>295</v>
      </c>
      <c r="B39" s="323" t="str">
        <f t="shared" si="2"/>
        <v>127</v>
      </c>
      <c r="C39" s="327" t="s">
        <v>968</v>
      </c>
      <c r="D39" s="324" t="s">
        <v>958</v>
      </c>
      <c r="E39" s="23">
        <v>4</v>
      </c>
    </row>
    <row r="40" spans="1:5">
      <c r="A40" s="29">
        <f t="shared" si="1"/>
        <v>299</v>
      </c>
      <c r="B40" s="323" t="str">
        <f t="shared" si="2"/>
        <v>12B</v>
      </c>
      <c r="C40" s="165" t="s">
        <v>969</v>
      </c>
      <c r="D40" s="324" t="s">
        <v>958</v>
      </c>
      <c r="E40" s="23">
        <v>4</v>
      </c>
    </row>
    <row r="41" spans="1:5">
      <c r="A41" s="29">
        <f t="shared" si="1"/>
        <v>303</v>
      </c>
      <c r="B41" s="323" t="str">
        <f t="shared" si="2"/>
        <v>12F</v>
      </c>
      <c r="C41" s="165" t="s">
        <v>970</v>
      </c>
      <c r="D41" s="324" t="s">
        <v>958</v>
      </c>
      <c r="E41" s="23">
        <v>4</v>
      </c>
    </row>
    <row r="42" spans="1:5">
      <c r="A42" s="29">
        <f t="shared" si="1"/>
        <v>307</v>
      </c>
      <c r="B42" s="323" t="str">
        <f t="shared" si="2"/>
        <v>133</v>
      </c>
      <c r="C42" s="165" t="s">
        <v>971</v>
      </c>
      <c r="D42" s="324" t="s">
        <v>958</v>
      </c>
      <c r="E42" s="23">
        <v>4</v>
      </c>
    </row>
    <row r="43" spans="1:5">
      <c r="A43" s="29">
        <f t="shared" si="1"/>
        <v>311</v>
      </c>
      <c r="B43" s="323" t="str">
        <f t="shared" si="2"/>
        <v>137</v>
      </c>
      <c r="C43" s="165" t="s">
        <v>972</v>
      </c>
      <c r="D43" s="324" t="s">
        <v>958</v>
      </c>
      <c r="E43" s="23">
        <v>4</v>
      </c>
    </row>
    <row r="44" spans="1:5">
      <c r="A44" s="29">
        <f t="shared" si="1"/>
        <v>315</v>
      </c>
      <c r="B44" s="323" t="str">
        <f t="shared" si="2"/>
        <v>13B</v>
      </c>
      <c r="C44" s="349" t="s">
        <v>1029</v>
      </c>
      <c r="D44" s="324" t="s">
        <v>958</v>
      </c>
      <c r="E44" s="23">
        <v>4</v>
      </c>
    </row>
    <row r="45" spans="1:5">
      <c r="A45" s="29">
        <f t="shared" si="1"/>
        <v>319</v>
      </c>
      <c r="B45" s="323" t="str">
        <f t="shared" si="2"/>
        <v>13F</v>
      </c>
      <c r="C45" s="165" t="s">
        <v>973</v>
      </c>
      <c r="D45" s="324" t="s">
        <v>958</v>
      </c>
      <c r="E45" s="23">
        <v>4</v>
      </c>
    </row>
    <row r="46" spans="1:5">
      <c r="A46" s="29">
        <f t="shared" si="1"/>
        <v>323</v>
      </c>
      <c r="B46" s="323" t="str">
        <f t="shared" si="2"/>
        <v>143</v>
      </c>
      <c r="C46" s="165" t="s">
        <v>974</v>
      </c>
      <c r="D46" s="324" t="s">
        <v>958</v>
      </c>
      <c r="E46" s="23">
        <v>4</v>
      </c>
    </row>
    <row r="47" spans="1:5">
      <c r="A47" s="29">
        <f t="shared" si="1"/>
        <v>327</v>
      </c>
      <c r="B47" s="323" t="str">
        <f t="shared" si="2"/>
        <v>147</v>
      </c>
      <c r="C47" s="165" t="s">
        <v>975</v>
      </c>
      <c r="D47" s="324" t="s">
        <v>958</v>
      </c>
      <c r="E47" s="23">
        <v>4</v>
      </c>
    </row>
    <row r="48" spans="1:5">
      <c r="A48" s="29">
        <f t="shared" si="1"/>
        <v>331</v>
      </c>
      <c r="B48" s="323" t="str">
        <f t="shared" si="2"/>
        <v>14B</v>
      </c>
      <c r="C48" s="165" t="s">
        <v>976</v>
      </c>
      <c r="D48" s="324" t="s">
        <v>958</v>
      </c>
      <c r="E48" s="23">
        <v>4</v>
      </c>
    </row>
    <row r="49" spans="1:5">
      <c r="A49" s="29">
        <f t="shared" si="1"/>
        <v>335</v>
      </c>
      <c r="B49" s="323" t="str">
        <f t="shared" si="2"/>
        <v>14F</v>
      </c>
      <c r="C49" s="165" t="s">
        <v>977</v>
      </c>
      <c r="D49" s="324" t="s">
        <v>958</v>
      </c>
      <c r="E49" s="23">
        <v>4</v>
      </c>
    </row>
    <row r="50" spans="1:5">
      <c r="A50" s="29">
        <f t="shared" si="1"/>
        <v>339</v>
      </c>
      <c r="B50" s="323" t="str">
        <f t="shared" si="2"/>
        <v>153</v>
      </c>
      <c r="C50" s="165" t="s">
        <v>978</v>
      </c>
      <c r="D50" s="324" t="s">
        <v>958</v>
      </c>
      <c r="E50" s="23">
        <v>4</v>
      </c>
    </row>
    <row r="51" spans="1:5">
      <c r="A51" s="29">
        <f t="shared" si="1"/>
        <v>343</v>
      </c>
      <c r="B51" s="323" t="str">
        <f t="shared" si="2"/>
        <v>157</v>
      </c>
      <c r="C51" s="165" t="s">
        <v>979</v>
      </c>
      <c r="D51" s="324" t="s">
        <v>958</v>
      </c>
      <c r="E51" s="23">
        <v>4</v>
      </c>
    </row>
    <row r="52" spans="1:5" ht="14.4" customHeight="1">
      <c r="A52" s="29">
        <f t="shared" si="1"/>
        <v>347</v>
      </c>
      <c r="B52" s="323" t="str">
        <f t="shared" si="2"/>
        <v>15B</v>
      </c>
      <c r="C52" s="165" t="s">
        <v>980</v>
      </c>
      <c r="D52" s="324" t="s">
        <v>958</v>
      </c>
      <c r="E52" s="23">
        <v>4</v>
      </c>
    </row>
    <row r="53" spans="1:5" ht="14.4" customHeight="1">
      <c r="A53" s="29">
        <f t="shared" si="1"/>
        <v>351</v>
      </c>
      <c r="B53" s="323" t="str">
        <f t="shared" si="2"/>
        <v>15F</v>
      </c>
      <c r="C53" s="165" t="s">
        <v>981</v>
      </c>
      <c r="D53" s="324" t="s">
        <v>958</v>
      </c>
      <c r="E53" s="23">
        <v>4</v>
      </c>
    </row>
    <row r="54" spans="1:5" ht="14.4" customHeight="1">
      <c r="A54" s="29">
        <f t="shared" si="1"/>
        <v>355</v>
      </c>
      <c r="B54" s="323" t="str">
        <f t="shared" si="2"/>
        <v>163</v>
      </c>
      <c r="C54" s="165" t="s">
        <v>982</v>
      </c>
      <c r="D54" s="324" t="s">
        <v>958</v>
      </c>
      <c r="E54" s="23">
        <v>4</v>
      </c>
    </row>
    <row r="55" spans="1:5" ht="13.95" customHeight="1">
      <c r="A55" s="29">
        <f t="shared" si="1"/>
        <v>359</v>
      </c>
      <c r="B55" s="323" t="str">
        <f t="shared" si="2"/>
        <v>167</v>
      </c>
      <c r="C55" s="165" t="s">
        <v>989</v>
      </c>
      <c r="D55" s="324" t="s">
        <v>958</v>
      </c>
      <c r="E55" s="23">
        <v>4</v>
      </c>
    </row>
    <row r="56" spans="1:5" ht="14.4" customHeight="1">
      <c r="A56" s="29">
        <f t="shared" si="1"/>
        <v>363</v>
      </c>
      <c r="B56" s="323" t="str">
        <f t="shared" si="2"/>
        <v>16B</v>
      </c>
      <c r="C56" s="165" t="s">
        <v>988</v>
      </c>
      <c r="D56" s="324" t="s">
        <v>958</v>
      </c>
      <c r="E56" s="23">
        <v>4</v>
      </c>
    </row>
    <row r="57" spans="1:5" ht="14.4" customHeight="1">
      <c r="A57" s="29">
        <f t="shared" si="1"/>
        <v>367</v>
      </c>
      <c r="B57" s="323" t="str">
        <f t="shared" si="2"/>
        <v>16F</v>
      </c>
      <c r="C57" s="165" t="s">
        <v>987</v>
      </c>
      <c r="D57" s="324" t="s">
        <v>958</v>
      </c>
      <c r="E57" s="23">
        <v>4</v>
      </c>
    </row>
    <row r="58" spans="1:5" ht="14.4" customHeight="1">
      <c r="A58" s="29">
        <f t="shared" si="1"/>
        <v>371</v>
      </c>
      <c r="B58" s="323" t="str">
        <f t="shared" si="2"/>
        <v>173</v>
      </c>
      <c r="C58" s="165" t="s">
        <v>986</v>
      </c>
      <c r="D58" s="324" t="s">
        <v>958</v>
      </c>
      <c r="E58" s="23">
        <v>4</v>
      </c>
    </row>
    <row r="59" spans="1:5" ht="14.4" customHeight="1">
      <c r="A59" s="29">
        <f t="shared" si="1"/>
        <v>375</v>
      </c>
      <c r="B59" s="323" t="str">
        <f t="shared" si="2"/>
        <v>177</v>
      </c>
      <c r="C59" s="349" t="s">
        <v>1000</v>
      </c>
      <c r="D59" s="324" t="s">
        <v>958</v>
      </c>
      <c r="E59" s="23">
        <v>4</v>
      </c>
    </row>
    <row r="60" spans="1:5" ht="14.4" customHeight="1">
      <c r="A60" s="29">
        <f t="shared" si="1"/>
        <v>379</v>
      </c>
      <c r="B60" s="323" t="str">
        <f t="shared" si="2"/>
        <v>17B</v>
      </c>
      <c r="C60" s="165" t="s">
        <v>999</v>
      </c>
      <c r="D60" s="324" t="s">
        <v>958</v>
      </c>
      <c r="E60" s="23">
        <v>4</v>
      </c>
    </row>
    <row r="61" spans="1:5" ht="16.8" customHeight="1">
      <c r="A61" s="29">
        <f t="shared" si="1"/>
        <v>383</v>
      </c>
      <c r="B61" s="323" t="str">
        <f t="shared" si="2"/>
        <v>17F</v>
      </c>
      <c r="C61" s="165" t="s">
        <v>990</v>
      </c>
      <c r="D61" s="324" t="s">
        <v>958</v>
      </c>
      <c r="E61" s="23">
        <v>4</v>
      </c>
    </row>
    <row r="62" spans="1:5" ht="16.8" customHeight="1">
      <c r="A62" s="29">
        <f t="shared" si="1"/>
        <v>387</v>
      </c>
      <c r="B62" s="323" t="str">
        <f t="shared" si="2"/>
        <v>183</v>
      </c>
      <c r="C62" s="165" t="s">
        <v>991</v>
      </c>
      <c r="D62" s="324" t="s">
        <v>958</v>
      </c>
      <c r="E62" s="23">
        <v>4</v>
      </c>
    </row>
    <row r="63" spans="1:5" ht="16.8" customHeight="1">
      <c r="A63" s="29">
        <f t="shared" si="1"/>
        <v>391</v>
      </c>
      <c r="B63" s="323" t="str">
        <f t="shared" si="2"/>
        <v>187</v>
      </c>
      <c r="C63" s="165" t="s">
        <v>992</v>
      </c>
      <c r="D63" s="324" t="s">
        <v>958</v>
      </c>
      <c r="E63" s="23">
        <v>4</v>
      </c>
    </row>
    <row r="64" spans="1:5" ht="16.8" customHeight="1">
      <c r="A64" s="29">
        <f t="shared" si="1"/>
        <v>395</v>
      </c>
      <c r="B64" s="323" t="str">
        <f t="shared" si="2"/>
        <v>18B</v>
      </c>
      <c r="C64" s="165" t="s">
        <v>993</v>
      </c>
      <c r="D64" s="324" t="s">
        <v>958</v>
      </c>
      <c r="E64" s="23">
        <v>4</v>
      </c>
    </row>
    <row r="65" spans="1:5" ht="16.8" customHeight="1">
      <c r="A65" s="29">
        <f t="shared" si="1"/>
        <v>399</v>
      </c>
      <c r="B65" s="323" t="str">
        <f t="shared" si="2"/>
        <v>18F</v>
      </c>
      <c r="C65" s="165" t="s">
        <v>994</v>
      </c>
      <c r="D65" s="324" t="s">
        <v>958</v>
      </c>
      <c r="E65" s="23">
        <v>4</v>
      </c>
    </row>
    <row r="66" spans="1:5" ht="16.8" customHeight="1">
      <c r="A66" s="29">
        <f t="shared" si="1"/>
        <v>403</v>
      </c>
      <c r="B66" s="323" t="str">
        <f t="shared" si="2"/>
        <v>193</v>
      </c>
      <c r="C66" s="165" t="s">
        <v>995</v>
      </c>
      <c r="D66" s="324" t="s">
        <v>958</v>
      </c>
      <c r="E66" s="23">
        <v>4</v>
      </c>
    </row>
    <row r="67" spans="1:5" ht="16.8" customHeight="1">
      <c r="A67" s="29">
        <f t="shared" si="1"/>
        <v>407</v>
      </c>
      <c r="B67" s="323" t="str">
        <f t="shared" si="2"/>
        <v>197</v>
      </c>
      <c r="C67" s="165" t="s">
        <v>996</v>
      </c>
      <c r="D67" s="324" t="s">
        <v>958</v>
      </c>
      <c r="E67" s="23">
        <v>4</v>
      </c>
    </row>
    <row r="68" spans="1:5" ht="16.8" customHeight="1">
      <c r="A68" s="29">
        <f t="shared" si="1"/>
        <v>411</v>
      </c>
      <c r="B68" s="323" t="str">
        <f t="shared" si="2"/>
        <v>19B</v>
      </c>
      <c r="C68" s="165" t="s">
        <v>997</v>
      </c>
      <c r="D68" s="324" t="s">
        <v>958</v>
      </c>
      <c r="E68" s="23">
        <v>4</v>
      </c>
    </row>
    <row r="69" spans="1:5" ht="16.8" customHeight="1">
      <c r="A69" s="29">
        <f t="shared" si="1"/>
        <v>415</v>
      </c>
      <c r="B69" s="323" t="str">
        <f t="shared" si="2"/>
        <v>19F</v>
      </c>
      <c r="C69" s="165" t="s">
        <v>998</v>
      </c>
      <c r="D69" s="324" t="s">
        <v>958</v>
      </c>
      <c r="E69" s="23">
        <v>4</v>
      </c>
    </row>
    <row r="70" spans="1:5" ht="16.8" customHeight="1">
      <c r="A70" s="29">
        <f t="shared" ref="A70:A71" si="3">A69+E69</f>
        <v>419</v>
      </c>
      <c r="B70" s="323" t="str">
        <f t="shared" si="2"/>
        <v>1A3</v>
      </c>
      <c r="C70" s="165" t="s">
        <v>983</v>
      </c>
      <c r="D70" s="324" t="s">
        <v>958</v>
      </c>
      <c r="E70" s="23">
        <v>4</v>
      </c>
    </row>
    <row r="71" spans="1:5" ht="16.8" customHeight="1">
      <c r="A71" s="29">
        <f t="shared" si="3"/>
        <v>423</v>
      </c>
      <c r="B71" s="323" t="str">
        <f t="shared" si="2"/>
        <v>1A7</v>
      </c>
      <c r="C71" s="165" t="s">
        <v>984</v>
      </c>
      <c r="D71" s="324" t="s">
        <v>930</v>
      </c>
      <c r="E71" s="325">
        <v>125</v>
      </c>
    </row>
    <row r="72" spans="1:5">
      <c r="A72" s="326" t="s">
        <v>985</v>
      </c>
      <c r="B72" s="326" t="s">
        <v>985</v>
      </c>
      <c r="C72" s="326" t="s">
        <v>985</v>
      </c>
      <c r="D72" s="326" t="s">
        <v>985</v>
      </c>
      <c r="E72" s="326" t="s">
        <v>985</v>
      </c>
    </row>
    <row r="73" spans="1:5">
      <c r="A73" s="127"/>
      <c r="B73" s="127"/>
      <c r="C73" s="127"/>
      <c r="D73" s="127"/>
      <c r="E73" s="127"/>
    </row>
  </sheetData>
  <mergeCells count="5">
    <mergeCell ref="A1:E1"/>
    <mergeCell ref="A2:B2"/>
    <mergeCell ref="C2:C3"/>
    <mergeCell ref="D2:D3"/>
    <mergeCell ref="E2:E3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18</vt:i4>
      </vt:variant>
      <vt:variant>
        <vt:lpstr>命名范围</vt:lpstr>
      </vt:variant>
      <vt:variant>
        <vt:i4>2</vt:i4>
      </vt:variant>
    </vt:vector>
  </HeadingPairs>
  <TitlesOfParts>
    <vt:vector size="20" baseType="lpstr">
      <vt:lpstr>Version_info</vt:lpstr>
      <vt:lpstr>Address Table </vt:lpstr>
      <vt:lpstr>1_FT_Analog_Inputs</vt:lpstr>
      <vt:lpstr>3_FT_Discrete_Inputs</vt:lpstr>
      <vt:lpstr>4_FT_Pulse_Inputs_Duty</vt:lpstr>
      <vt:lpstr>4S_FT_Freq_Inputs</vt:lpstr>
      <vt:lpstr>5_FT_Phase_Temp_Inputs</vt:lpstr>
      <vt:lpstr>6_FT_Enables</vt:lpstr>
      <vt:lpstr>7_FT_Pulse_Output</vt:lpstr>
      <vt:lpstr>8_Resolver_Para</vt:lpstr>
      <vt:lpstr>9_Mode change&amp;ECU info</vt:lpstr>
      <vt:lpstr>10_Motor_TM1</vt:lpstr>
      <vt:lpstr>11_Motor_TM2</vt:lpstr>
      <vt:lpstr>12_Current_sensor_test</vt:lpstr>
      <vt:lpstr>13_Communication</vt:lpstr>
      <vt:lpstr>14_Auto Output PWM _TM1</vt:lpstr>
      <vt:lpstr>15_Auto Output PWM _TM2</vt:lpstr>
      <vt:lpstr>16_FT_MPI</vt:lpstr>
      <vt:lpstr>'12_Current_sensor_test'!OLE_LINK5</vt:lpstr>
      <vt:lpstr>'Address Table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Xuan (Wuhan)</dc:creator>
  <cp:lastModifiedBy>Gan, Tianxiang1 (Wuhan)</cp:lastModifiedBy>
  <dcterms:created xsi:type="dcterms:W3CDTF">2025-07-16T06:06:19Z</dcterms:created>
  <dcterms:modified xsi:type="dcterms:W3CDTF">2025-08-07T08:38:46Z</dcterms:modified>
</cp:coreProperties>
</file>